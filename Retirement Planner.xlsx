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5"/>
    <sheet state="visible" name="Details" sheetId="2" r:id="rId6"/>
    <sheet state="visible" name="Expenses" sheetId="3" r:id="rId7"/>
    <sheet state="visible" name="Accounts" sheetId="4" r:id="rId8"/>
    <sheet state="visible" name="Other Income" sheetId="5" r:id="rId9"/>
    <sheet state="visible" name="Compounding" sheetId="6" r:id="rId10"/>
    <sheet state="hidden" name="Defaults" sheetId="7" r:id="rId11"/>
  </sheets>
  <definedNames/>
  <calcPr/>
</workbook>
</file>

<file path=xl/sharedStrings.xml><?xml version="1.0" encoding="utf-8"?>
<sst xmlns="http://schemas.openxmlformats.org/spreadsheetml/2006/main" count="167" uniqueCount="129">
  <si>
    <t>Needs/Assets</t>
  </si>
  <si>
    <t>Financial 
needs in retirement</t>
  </si>
  <si>
    <t>Tax-Deferred (401k / IRA / Pension)</t>
  </si>
  <si>
    <t>No-Tax (Roth 401k/IRA &amp; HSA)</t>
  </si>
  <si>
    <t>Taxable (Stock Investments)</t>
  </si>
  <si>
    <t>Other Investments (Real Estate, Crypto, etc.)</t>
  </si>
  <si>
    <t>Growth rate (return) before retirement</t>
  </si>
  <si>
    <t>Current year / Retirement age</t>
  </si>
  <si>
    <t>Loan rate (if borrowed for expenses)</t>
  </si>
  <si>
    <t>Retirement start</t>
  </si>
  <si>
    <t>Growth rate (return) during retirement</t>
  </si>
  <si>
    <t>Years left for retirement</t>
  </si>
  <si>
    <t>Capital gains &amp; gividends blended tax rate</t>
  </si>
  <si>
    <t>Annual retirement expenses in today's $s</t>
  </si>
  <si>
    <t>Income tax rate during retirement</t>
  </si>
  <si>
    <t>Inflation</t>
  </si>
  <si>
    <t>Retirement age</t>
  </si>
  <si>
    <t>Annual expenses at retirement - after tax</t>
  </si>
  <si>
    <t>Birth year</t>
  </si>
  <si>
    <t>Annual income needed from savings - pre tax</t>
  </si>
  <si>
    <t>Retirement distributions start age</t>
  </si>
  <si>
    <t>Principal needed for retirement - 4% rule</t>
  </si>
  <si>
    <t>Social security benefit start age</t>
  </si>
  <si>
    <t>Total needed at retirement</t>
  </si>
  <si>
    <t>Estimated SS income - annual per person</t>
  </si>
  <si>
    <t>Growth rate (update cell H1)</t>
  </si>
  <si>
    <t>Other recurring income at start of retirement - annual</t>
  </si>
  <si>
    <t>Current savings</t>
  </si>
  <si>
    <t>Other Income before retirement distributions - annual</t>
  </si>
  <si>
    <t>Current contributions - annual</t>
  </si>
  <si>
    <t>% withdrawn in retirement</t>
  </si>
  <si>
    <t>Employer match</t>
  </si>
  <si>
    <t>Age of asset transfer to kids</t>
  </si>
  <si>
    <t>Additional catch up contributions - annual</t>
  </si>
  <si>
    <t>Total money needed for special expenses</t>
  </si>
  <si>
    <t>Total contributions - annual</t>
  </si>
  <si>
    <t>Contribution multiplier (number of earners)</t>
  </si>
  <si>
    <t>Savings with total contributions</t>
  </si>
  <si>
    <t>Borrow for special expenses (Y/N)</t>
  </si>
  <si>
    <t>N</t>
  </si>
  <si>
    <t>Cumulative assets at retirement</t>
  </si>
  <si>
    <t>Funds will be available until age</t>
  </si>
  <si>
    <t>Gap/Excess at retirement</t>
  </si>
  <si>
    <t>Money left to transfer to kids</t>
  </si>
  <si>
    <t>Change assumptions in these cells. Dont change other cells.</t>
  </si>
  <si>
    <t>Year</t>
  </si>
  <si>
    <t>Age</t>
  </si>
  <si>
    <t>Event</t>
  </si>
  <si>
    <t>SSA Income</t>
  </si>
  <si>
    <t>401K Distribution</t>
  </si>
  <si>
    <t>Roth Distribution</t>
  </si>
  <si>
    <t>Investment Income</t>
  </si>
  <si>
    <t>Other Investments Income</t>
  </si>
  <si>
    <t>Other recurring incone</t>
  </si>
  <si>
    <t>Total Income (after-tax)*</t>
  </si>
  <si>
    <t>Total Income</t>
  </si>
  <si>
    <t>After Tax Income</t>
  </si>
  <si>
    <t>Living Expenses</t>
  </si>
  <si>
    <t>Special Expenses</t>
  </si>
  <si>
    <t>Total Expenses</t>
  </si>
  <si>
    <t>Gap/Excess</t>
  </si>
  <si>
    <t>Cumilative Liability</t>
  </si>
  <si>
    <t>Assets Remaining</t>
  </si>
  <si>
    <t>Networth</t>
  </si>
  <si>
    <t>401k Balance</t>
  </si>
  <si>
    <t>Roth Balance</t>
  </si>
  <si>
    <t>Investment Balance</t>
  </si>
  <si>
    <t>Other Investments Balance</t>
  </si>
  <si>
    <t>Unqualified Income</t>
  </si>
  <si>
    <t>Standard Deduction</t>
  </si>
  <si>
    <t>Tax Free Income</t>
  </si>
  <si>
    <t>Taxable Income</t>
  </si>
  <si>
    <t>Tax</t>
  </si>
  <si>
    <t>Tax as a % of total income</t>
  </si>
  <si>
    <t>Test</t>
  </si>
  <si>
    <t>Cars</t>
  </si>
  <si>
    <t>Gifts4Nieces&amp;Nephews1</t>
  </si>
  <si>
    <t>College 1</t>
  </si>
  <si>
    <t>Gifts4Nieces&amp;Nephews2</t>
  </si>
  <si>
    <t>Prasee Annuity</t>
  </si>
  <si>
    <t>Wedding 1</t>
  </si>
  <si>
    <t>Jewelery and stuff</t>
  </si>
  <si>
    <t>Gifts4Nieces&amp;Nephews3</t>
  </si>
  <si>
    <t>Colege 2</t>
  </si>
  <si>
    <t>Wedding 2</t>
  </si>
  <si>
    <t>Expense</t>
  </si>
  <si>
    <t>Retire after 65</t>
  </si>
  <si>
    <t>Retire before 65</t>
  </si>
  <si>
    <t>Rent / Taxes-Maint</t>
  </si>
  <si>
    <t>Groceries</t>
  </si>
  <si>
    <t>Dining out / Entertainment</t>
  </si>
  <si>
    <t>Utilities</t>
  </si>
  <si>
    <t>Medical</t>
  </si>
  <si>
    <t>Travel</t>
  </si>
  <si>
    <t>Additional</t>
  </si>
  <si>
    <t>Total</t>
  </si>
  <si>
    <t>Estimated monthly expenses in today's dollars</t>
  </si>
  <si>
    <t>Account Name</t>
  </si>
  <si>
    <t>Owner</t>
  </si>
  <si>
    <t>Balance</t>
  </si>
  <si>
    <t>IRA</t>
  </si>
  <si>
    <t>Siva</t>
  </si>
  <si>
    <t>401k</t>
  </si>
  <si>
    <t>Roth IRA</t>
  </si>
  <si>
    <t>HSA</t>
  </si>
  <si>
    <t>Shireesha</t>
  </si>
  <si>
    <t>Taxable</t>
  </si>
  <si>
    <t>ESPP</t>
  </si>
  <si>
    <t>Pension 1</t>
  </si>
  <si>
    <t>Pension 2</t>
  </si>
  <si>
    <t>Crypto</t>
  </si>
  <si>
    <t>Viz Flat</t>
  </si>
  <si>
    <t>Kurnool Land</t>
  </si>
  <si>
    <t>Hyd Plot</t>
  </si>
  <si>
    <t>EPIC 16 Land</t>
  </si>
  <si>
    <t>Ohio Lands (2)</t>
  </si>
  <si>
    <t>Pre-tax total</t>
  </si>
  <si>
    <t>After-tax total</t>
  </si>
  <si>
    <t>Taxable Total</t>
  </si>
  <si>
    <t>Assets total</t>
  </si>
  <si>
    <t>Income Sources</t>
  </si>
  <si>
    <t>Amount - Annual</t>
  </si>
  <si>
    <t>Pension</t>
  </si>
  <si>
    <t>Options Income</t>
  </si>
  <si>
    <t>Rental Income</t>
  </si>
  <si>
    <t>Tax rate during retirement</t>
  </si>
  <si>
    <t>Estimated SS income - annual</t>
  </si>
  <si>
    <t>Total money borrowed for special expenses</t>
  </si>
  <si>
    <t>Work 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</si>
</sst>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%"/>
  </numFmts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FF"/>
      <name val="Arial"/>
    </font>
    <font>
      <color rgb="FF000000"/>
      <name val="Arial"/>
    </font>
    <font>
      <color theme="1"/>
      <name val="Arial"/>
      <scheme val="minor"/>
    </font>
    <font>
      <color rgb="FFB7B7B7"/>
      <name val="Arial"/>
      <scheme val="minor"/>
    </font>
    <font>
      <b/>
      <color rgb="FFB7B7B7"/>
      <name val="Arial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sz val="11.0"/>
      <color rgb="FF1155CC"/>
      <name val="Inconsolata"/>
    </font>
    <font>
      <sz val="11.0"/>
      <color rgb="FF000000"/>
      <name val="Inconsolata"/>
    </font>
    <font>
      <sz val="9.0"/>
      <color theme="1"/>
      <name val="Arial"/>
    </font>
    <font>
      <b/>
      <sz val="12.0"/>
      <color theme="1"/>
      <name val="Arial"/>
      <scheme val="minor"/>
    </font>
    <font>
      <b/>
      <color rgb="FF000000"/>
      <name val="Arial"/>
    </font>
    <font>
      <color rgb="FF000000"/>
      <name val="Arial"/>
      <scheme val="minor"/>
    </font>
    <font>
      <color rgb="FFF3F3F3"/>
      <name val="Arial"/>
      <scheme val="minor"/>
    </font>
    <font>
      <color rgb="FFD9D9D9"/>
      <name val="Arial"/>
    </font>
    <font>
      <b/>
      <color rgb="FFD9D9D9"/>
      <name val="Arial"/>
    </font>
    <font>
      <color rgb="FFD9D9D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EF8EB"/>
        <bgColor rgb="FFEEF8EB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ont="1">
      <alignment readingOrder="0" vertical="bottom"/>
    </xf>
    <xf borderId="0" fillId="3" fontId="3" numFmtId="9" xfId="0" applyAlignment="1" applyFill="1" applyFont="1" applyNumberForma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2" fontId="4" numFmtId="0" xfId="0" applyAlignment="1" applyFont="1">
      <alignment horizontal="right" readingOrder="0" vertical="bottom"/>
    </xf>
    <xf borderId="0" fillId="2" fontId="2" numFmtId="0" xfId="0" applyAlignment="1" applyFont="1">
      <alignment vertical="bottom"/>
    </xf>
    <xf borderId="0" fillId="2" fontId="2" numFmtId="164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readingOrder="0" vertical="bottom"/>
    </xf>
    <xf borderId="0" fillId="3" fontId="3" numFmtId="0" xfId="0" applyAlignment="1" applyFont="1">
      <alignment horizontal="right" readingOrder="0" vertical="bottom"/>
    </xf>
    <xf borderId="0" fillId="2" fontId="2" numFmtId="164" xfId="0" applyAlignment="1" applyFont="1" applyNumberFormat="1">
      <alignment horizontal="right" vertical="bottom"/>
    </xf>
    <xf borderId="0" fillId="2" fontId="5" numFmtId="0" xfId="0" applyAlignment="1" applyFont="1">
      <alignment readingOrder="0"/>
    </xf>
    <xf borderId="0" fillId="2" fontId="1" numFmtId="164" xfId="0" applyAlignment="1" applyFont="1" applyNumberFormat="1">
      <alignment horizontal="right" vertical="bottom"/>
    </xf>
    <xf borderId="0" fillId="2" fontId="2" numFmtId="9" xfId="0" applyAlignment="1" applyFont="1" applyNumberFormat="1">
      <alignment vertical="bottom"/>
    </xf>
    <xf borderId="0" fillId="3" fontId="3" numFmtId="164" xfId="0" applyAlignment="1" applyFont="1" applyNumberFormat="1">
      <alignment horizontal="right" readingOrder="0" vertical="bottom"/>
    </xf>
    <xf borderId="0" fillId="2" fontId="2" numFmtId="10" xfId="0" applyAlignment="1" applyFont="1" applyNumberFormat="1">
      <alignment vertical="bottom"/>
    </xf>
    <xf borderId="0" fillId="2" fontId="2" numFmtId="10" xfId="0" applyAlignment="1" applyFont="1" applyNumberFormat="1">
      <alignment horizontal="right" vertical="bottom"/>
    </xf>
    <xf borderId="0" fillId="2" fontId="4" numFmtId="164" xfId="0" applyAlignment="1" applyFont="1" applyNumberFormat="1">
      <alignment vertical="bottom"/>
    </xf>
    <xf borderId="0" fillId="2" fontId="6" numFmtId="0" xfId="0" applyAlignment="1" applyFont="1">
      <alignment readingOrder="0"/>
    </xf>
    <xf borderId="0" fillId="2" fontId="7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vertical="bottom"/>
    </xf>
    <xf borderId="0" fillId="2" fontId="8" numFmtId="0" xfId="0" applyAlignment="1" applyFont="1">
      <alignment readingOrder="0"/>
    </xf>
    <xf borderId="0" fillId="2" fontId="8" numFmtId="0" xfId="0" applyAlignment="1" applyFont="1">
      <alignment horizontal="right" readingOrder="0"/>
    </xf>
    <xf borderId="0" fillId="2" fontId="1" numFmtId="164" xfId="0" applyAlignment="1" applyFont="1" applyNumberFormat="1">
      <alignment horizontal="right" vertical="bottom"/>
    </xf>
    <xf borderId="0" fillId="2" fontId="9" numFmtId="0" xfId="0" applyAlignment="1" applyFont="1">
      <alignment readingOrder="0"/>
    </xf>
    <xf borderId="0" fillId="4" fontId="9" numFmtId="164" xfId="0" applyAlignment="1" applyFill="1" applyFont="1" applyNumberForma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" xfId="0" applyAlignment="1" applyFont="1" applyNumberForma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vertical="bottom"/>
    </xf>
    <xf borderId="0" fillId="5" fontId="10" numFmtId="1" xfId="0" applyFill="1" applyFont="1" applyNumberFormat="1"/>
    <xf borderId="0" fillId="0" fontId="2" numFmtId="1" xfId="0" applyAlignment="1" applyFont="1" applyNumberFormat="1">
      <alignment horizontal="right" vertical="bottom"/>
    </xf>
    <xf borderId="0" fillId="5" fontId="11" numFmtId="1" xfId="0" applyFont="1" applyNumberFormat="1"/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2" numFmtId="1" xfId="0" applyAlignment="1" applyFont="1" applyNumberFormat="1">
      <alignment readingOrder="0" vertical="bottom"/>
    </xf>
    <xf borderId="0" fillId="6" fontId="12" numFmtId="0" xfId="0" applyAlignment="1" applyFill="1" applyFont="1">
      <alignment vertical="bottom"/>
    </xf>
    <xf borderId="0" fillId="3" fontId="3" numFmtId="164" xfId="0" applyAlignment="1" applyFont="1" applyNumberFormat="1">
      <alignment horizontal="right" readingOrder="0"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3" fontId="3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7" fontId="1" numFmtId="0" xfId="0" applyAlignment="1" applyFill="1" applyFont="1">
      <alignment readingOrder="0" shrinkToFit="0" vertical="bottom" wrapText="1"/>
    </xf>
    <xf borderId="0" fillId="7" fontId="3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5" fontId="2" numFmtId="164" xfId="0" applyAlignment="1" applyFont="1" applyNumberFormat="1">
      <alignment vertical="bottom"/>
    </xf>
    <xf borderId="0" fillId="5" fontId="2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7" fontId="1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14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164" xfId="0" applyFont="1" applyNumberFormat="1"/>
    <xf borderId="0" fillId="0" fontId="16" numFmtId="0" xfId="0" applyFont="1"/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2" fontId="17" numFmtId="0" xfId="0" applyAlignment="1" applyFont="1">
      <alignment readingOrder="0" vertical="bottom"/>
    </xf>
    <xf borderId="0" fillId="3" fontId="18" numFmtId="9" xfId="0" applyAlignment="1" applyFont="1" applyNumberFormat="1">
      <alignment horizontal="right" readingOrder="0" vertical="bottom"/>
    </xf>
    <xf borderId="0" fillId="0" fontId="19" numFmtId="0" xfId="0" applyFont="1"/>
    <xf borderId="0" fillId="2" fontId="17" numFmtId="0" xfId="0" applyAlignment="1" applyFont="1">
      <alignment vertical="bottom"/>
    </xf>
    <xf borderId="0" fillId="3" fontId="18" numFmtId="165" xfId="0" applyAlignment="1" applyFont="1" applyNumberFormat="1">
      <alignment horizontal="right" readingOrder="0" vertical="bottom"/>
    </xf>
    <xf borderId="0" fillId="3" fontId="18" numFmtId="0" xfId="0" applyAlignment="1" applyFont="1">
      <alignment horizontal="right" readingOrder="0" vertical="bottom"/>
    </xf>
    <xf borderId="0" fillId="2" fontId="19" numFmtId="0" xfId="0" applyAlignment="1" applyFont="1">
      <alignment readingOrder="0"/>
    </xf>
    <xf borderId="0" fillId="3" fontId="18" numFmtId="164" xfId="0" applyAlignment="1" applyFont="1" applyNumberFormat="1">
      <alignment horizontal="right" readingOrder="0" vertical="bottom"/>
    </xf>
    <xf borderId="0" fillId="3" fontId="18" numFmtId="1" xfId="0" applyAlignment="1" applyFont="1" applyNumberFormat="1">
      <alignment horizontal="right" readingOrder="0" vertical="bottom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Details!$L$1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Details!$L$2:$L$52</c:f>
              <c:numCache/>
            </c:numRef>
          </c:val>
          <c:smooth val="0"/>
        </c:ser>
        <c:ser>
          <c:idx val="1"/>
          <c:order val="1"/>
          <c:tx>
            <c:strRef>
              <c:f>Details!$M$1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Details!$M$2:$M$52</c:f>
              <c:numCache/>
            </c:numRef>
          </c:val>
          <c:smooth val="0"/>
        </c:ser>
        <c:ser>
          <c:idx val="2"/>
          <c:order val="2"/>
          <c:tx>
            <c:strRef>
              <c:f>Details!$I$1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Details!$I$2:$I$52</c:f>
              <c:numCache/>
            </c:numRef>
          </c:val>
          <c:smooth val="0"/>
        </c:ser>
        <c:ser>
          <c:idx val="3"/>
          <c:order val="3"/>
          <c:tx>
            <c:strRef>
              <c:f>Details!$J$1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Details!$J$2:$J$52</c:f>
              <c:numCache/>
            </c:numRef>
          </c:val>
          <c:smooth val="0"/>
        </c:ser>
        <c:axId val="1185197751"/>
        <c:axId val="490197191"/>
      </c:lineChart>
      <c:catAx>
        <c:axId val="1185197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197191"/>
      </c:catAx>
      <c:valAx>
        <c:axId val="490197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197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Details!$N$1</c:f>
            </c:strRef>
          </c:tx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Details!$N$2:$N$52</c:f>
              <c:numCache/>
            </c:numRef>
          </c:val>
          <c:smooth val="0"/>
        </c:ser>
        <c:ser>
          <c:idx val="1"/>
          <c:order val="1"/>
          <c:tx>
            <c:strRef>
              <c:f>Details!$O$1</c:f>
            </c:strRef>
          </c:tx>
          <c:spPr>
            <a:ln cmpd="sng">
              <a:solidFill>
                <a:srgbClr val="00FF00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Details!$O$2:$O$52</c:f>
              <c:numCache/>
            </c:numRef>
          </c:val>
          <c:smooth val="0"/>
        </c:ser>
        <c:ser>
          <c:idx val="2"/>
          <c:order val="2"/>
          <c:tx>
            <c:strRef>
              <c:f>Details!$P$1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Details!$P$2:$P$52</c:f>
              <c:numCache/>
            </c:numRef>
          </c:val>
          <c:smooth val="0"/>
        </c:ser>
        <c:axId val="342849044"/>
        <c:axId val="1227446241"/>
      </c:lineChart>
      <c:catAx>
        <c:axId val="342849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446241"/>
      </c:catAx>
      <c:valAx>
        <c:axId val="1227446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849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Details!$D$1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Details!$B$2:$B$52</c:f>
            </c:strRef>
          </c:cat>
          <c:val>
            <c:numRef>
              <c:f>Details!$D$2:$D$52</c:f>
              <c:numCache/>
            </c:numRef>
          </c:val>
        </c:ser>
        <c:ser>
          <c:idx val="1"/>
          <c:order val="1"/>
          <c:tx>
            <c:strRef>
              <c:f>Details!$E$1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Details!$B$2:$B$52</c:f>
            </c:strRef>
          </c:cat>
          <c:val>
            <c:numRef>
              <c:f>Details!$E$2:$E$52</c:f>
              <c:numCache/>
            </c:numRef>
          </c:val>
        </c:ser>
        <c:ser>
          <c:idx val="2"/>
          <c:order val="2"/>
          <c:tx>
            <c:strRef>
              <c:f>Details!$F$1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Details!$B$2:$B$52</c:f>
            </c:strRef>
          </c:cat>
          <c:val>
            <c:numRef>
              <c:f>Details!$F$2:$F$52</c:f>
              <c:numCache/>
            </c:numRef>
          </c:val>
        </c:ser>
        <c:ser>
          <c:idx val="3"/>
          <c:order val="3"/>
          <c:tx>
            <c:strRef>
              <c:f>Details!$G$1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Details!$B$2:$B$52</c:f>
            </c:strRef>
          </c:cat>
          <c:val>
            <c:numRef>
              <c:f>Details!$G$2:$G$52</c:f>
              <c:numCache/>
            </c:numRef>
          </c:val>
        </c:ser>
        <c:ser>
          <c:idx val="4"/>
          <c:order val="4"/>
          <c:tx>
            <c:strRef>
              <c:f>Details!$I$1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Details!$B$2:$B$52</c:f>
            </c:strRef>
          </c:cat>
          <c:val>
            <c:numRef>
              <c:f>Details!$I$2:$I$52</c:f>
              <c:numCache/>
            </c:numRef>
          </c:val>
        </c:ser>
        <c:axId val="921201932"/>
        <c:axId val="508291440"/>
      </c:areaChart>
      <c:catAx>
        <c:axId val="921201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291440"/>
      </c:catAx>
      <c:valAx>
        <c:axId val="508291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201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Details!$K$1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Details!$K$2:$K$52</c:f>
              <c:numCache/>
            </c:numRef>
          </c:val>
          <c:smooth val="1"/>
        </c:ser>
        <c:ser>
          <c:idx val="1"/>
          <c:order val="1"/>
          <c:tx>
            <c:strRef>
              <c:f>Details!$Q$1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Details!$Q$2:$Q$52</c:f>
              <c:numCache/>
            </c:numRef>
          </c:val>
          <c:smooth val="1"/>
        </c:ser>
        <c:ser>
          <c:idx val="2"/>
          <c:order val="2"/>
          <c:tx>
            <c:strRef>
              <c:f>Details!$R$1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Details!$R$2:$R$52</c:f>
              <c:numCache/>
            </c:numRef>
          </c:val>
          <c:smooth val="1"/>
        </c:ser>
        <c:ser>
          <c:idx val="3"/>
          <c:order val="3"/>
          <c:tx>
            <c:strRef>
              <c:f>Details!$S$1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Details!$B$2:$B$52</c:f>
            </c:strRef>
          </c:cat>
          <c:val>
            <c:numRef>
              <c:f>Details!$S$2:$S$52</c:f>
              <c:numCache/>
            </c:numRef>
          </c:val>
          <c:smooth val="1"/>
        </c:ser>
        <c:axId val="7997743"/>
        <c:axId val="1051964014"/>
      </c:lineChart>
      <c:catAx>
        <c:axId val="7997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964014"/>
      </c:catAx>
      <c:valAx>
        <c:axId val="1051964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7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0</xdr:row>
      <xdr:rowOff>9525</xdr:rowOff>
    </xdr:from>
    <xdr:ext cx="5334000" cy="1971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133350</xdr:colOff>
      <xdr:row>11</xdr:row>
      <xdr:rowOff>133350</xdr:rowOff>
    </xdr:from>
    <xdr:ext cx="5334000" cy="1828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133350</xdr:colOff>
      <xdr:row>21</xdr:row>
      <xdr:rowOff>28575</xdr:rowOff>
    </xdr:from>
    <xdr:ext cx="5334000" cy="1895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819150</xdr:colOff>
      <xdr:row>29</xdr:row>
      <xdr:rowOff>133350</xdr:rowOff>
    </xdr:from>
    <xdr:ext cx="10467975" cy="4181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9525</xdr:colOff>
      <xdr:row>28</xdr:row>
      <xdr:rowOff>9525</xdr:rowOff>
    </xdr:from>
    <xdr:ext cx="1304925" cy="428625"/>
    <xdr:sp>
      <xdr:nvSpPr>
        <xdr:cNvPr id="3" name="Shape 3"/>
        <xdr:cNvSpPr/>
      </xdr:nvSpPr>
      <xdr:spPr>
        <a:xfrm>
          <a:off x="2717625" y="1003275"/>
          <a:ext cx="1285800" cy="409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500"/>
            <a:t>Reset</a:t>
          </a:r>
          <a:endParaRPr sz="25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2" max="2" width="9.63"/>
    <col customWidth="1" min="3" max="3" width="11.5"/>
    <col customWidth="1" min="4" max="4" width="9.63"/>
    <col customWidth="1" min="5" max="5" width="12.0"/>
    <col customWidth="1" min="6" max="6" width="13.88"/>
    <col customWidth="1" min="7" max="7" width="41.2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>
        <v>0.15</v>
      </c>
    </row>
    <row r="2">
      <c r="A2" s="2" t="s">
        <v>7</v>
      </c>
      <c r="B2" s="4">
        <f>(YEAR(today()))</f>
        <v>2026</v>
      </c>
      <c r="C2" s="5">
        <f>H7</f>
        <v>56</v>
      </c>
      <c r="D2" s="4">
        <f>C2</f>
        <v>56</v>
      </c>
      <c r="E2" s="4">
        <f>C2</f>
        <v>56</v>
      </c>
      <c r="F2" s="4">
        <f>C2</f>
        <v>56</v>
      </c>
      <c r="G2" s="2" t="s">
        <v>8</v>
      </c>
      <c r="H2" s="3">
        <v>0.06</v>
      </c>
    </row>
    <row r="3">
      <c r="A3" s="6" t="s">
        <v>9</v>
      </c>
      <c r="B3" s="4">
        <f>H8+C2</f>
        <v>2029</v>
      </c>
      <c r="C3" s="4"/>
      <c r="D3" s="6"/>
      <c r="E3" s="6"/>
      <c r="F3" s="6"/>
      <c r="G3" s="2" t="s">
        <v>10</v>
      </c>
      <c r="H3" s="3">
        <f>H1*0.6</f>
        <v>0.09</v>
      </c>
    </row>
    <row r="4">
      <c r="A4" s="2" t="s">
        <v>11</v>
      </c>
      <c r="B4" s="4">
        <f>(B3-B2)</f>
        <v>3</v>
      </c>
      <c r="C4" s="4">
        <f t="shared" ref="C4:D4" si="1">B4</f>
        <v>3</v>
      </c>
      <c r="D4" s="4">
        <f t="shared" si="1"/>
        <v>3</v>
      </c>
      <c r="E4" s="4">
        <f t="shared" ref="E4:F4" si="2">B4</f>
        <v>3</v>
      </c>
      <c r="F4" s="4">
        <f t="shared" si="2"/>
        <v>3</v>
      </c>
      <c r="G4" s="2" t="s">
        <v>12</v>
      </c>
      <c r="H4" s="3">
        <v>0.1</v>
      </c>
    </row>
    <row r="5">
      <c r="A5" s="2" t="s">
        <v>13</v>
      </c>
      <c r="B5" s="7">
        <f>IF(H7&lt;65,(Expenses!C12)*12,(Expenses!B12)*12)</f>
        <v>132000</v>
      </c>
      <c r="C5" s="6"/>
      <c r="D5" s="6"/>
      <c r="E5" s="6"/>
      <c r="F5" s="6"/>
      <c r="G5" s="2" t="s">
        <v>14</v>
      </c>
      <c r="H5" s="3">
        <v>0.2</v>
      </c>
    </row>
    <row r="6">
      <c r="A6" s="6"/>
      <c r="B6" s="6"/>
      <c r="C6" s="6"/>
      <c r="D6" s="6"/>
      <c r="E6" s="6"/>
      <c r="F6" s="6"/>
      <c r="G6" s="6" t="s">
        <v>15</v>
      </c>
      <c r="H6" s="8">
        <v>0.04</v>
      </c>
    </row>
    <row r="7">
      <c r="A7" s="6"/>
      <c r="B7" s="6"/>
      <c r="C7" s="6"/>
      <c r="D7" s="6"/>
      <c r="E7" s="6"/>
      <c r="F7" s="6"/>
      <c r="G7" s="2" t="s">
        <v>16</v>
      </c>
      <c r="H7" s="9">
        <v>56.0</v>
      </c>
    </row>
    <row r="8">
      <c r="A8" s="2" t="s">
        <v>17</v>
      </c>
      <c r="B8" s="7">
        <f>FV(H6,B4,0,-B5,0)</f>
        <v>148482.048</v>
      </c>
      <c r="C8" s="6"/>
      <c r="D8" s="6"/>
      <c r="E8" s="6"/>
      <c r="F8" s="6"/>
      <c r="G8" s="2" t="s">
        <v>18</v>
      </c>
      <c r="H8" s="9">
        <v>1973.0</v>
      </c>
    </row>
    <row r="9">
      <c r="A9" s="2" t="s">
        <v>19</v>
      </c>
      <c r="B9" s="10">
        <f>(B8)*(1+H5)</f>
        <v>178178.4576</v>
      </c>
      <c r="C9" s="6"/>
      <c r="D9" s="6"/>
      <c r="E9" s="6"/>
      <c r="F9" s="6"/>
      <c r="G9" s="11" t="s">
        <v>20</v>
      </c>
      <c r="H9" s="9">
        <v>60.0</v>
      </c>
    </row>
    <row r="10">
      <c r="A10" s="2" t="s">
        <v>21</v>
      </c>
      <c r="B10" s="10">
        <f>(B9*25)</f>
        <v>4454461.44</v>
      </c>
      <c r="C10" s="6"/>
      <c r="D10" s="6"/>
      <c r="E10" s="6"/>
      <c r="F10" s="6"/>
      <c r="G10" s="11" t="s">
        <v>22</v>
      </c>
      <c r="H10" s="9">
        <v>62.0</v>
      </c>
    </row>
    <row r="11">
      <c r="A11" s="6" t="s">
        <v>23</v>
      </c>
      <c r="B11" s="12">
        <f>SUM(B10)</f>
        <v>4454461.44</v>
      </c>
      <c r="C11" s="6"/>
      <c r="D11" s="13"/>
      <c r="E11" s="13"/>
      <c r="F11" s="13"/>
      <c r="G11" s="11" t="s">
        <v>24</v>
      </c>
      <c r="H11" s="14">
        <v>20000.0</v>
      </c>
    </row>
    <row r="12">
      <c r="A12" s="2" t="s">
        <v>25</v>
      </c>
      <c r="B12" s="15"/>
      <c r="C12" s="16">
        <f>H1</f>
        <v>0.15</v>
      </c>
      <c r="D12" s="16">
        <f>H1</f>
        <v>0.15</v>
      </c>
      <c r="E12" s="16">
        <f>H1</f>
        <v>0.15</v>
      </c>
      <c r="F12" s="16">
        <f>H1</f>
        <v>0.15</v>
      </c>
      <c r="G12" s="11" t="s">
        <v>26</v>
      </c>
      <c r="H12" s="14">
        <v>0.0</v>
      </c>
    </row>
    <row r="13">
      <c r="A13" s="2" t="s">
        <v>27</v>
      </c>
      <c r="B13" s="17">
        <f>SUM(C13:F13)</f>
        <v>3335000</v>
      </c>
      <c r="C13" s="14">
        <f>Accounts!C23</f>
        <v>1868000</v>
      </c>
      <c r="D13" s="14">
        <f>Accounts!C24</f>
        <v>168000</v>
      </c>
      <c r="E13" s="14">
        <f>Accounts!C25</f>
        <v>873000</v>
      </c>
      <c r="F13" s="14">
        <f>Accounts!C26</f>
        <v>426000</v>
      </c>
      <c r="G13" s="18" t="s">
        <v>28</v>
      </c>
      <c r="H13" s="19">
        <v>0.0</v>
      </c>
    </row>
    <row r="14">
      <c r="A14" s="2" t="s">
        <v>29</v>
      </c>
      <c r="B14" s="6"/>
      <c r="C14" s="14">
        <v>23000.0</v>
      </c>
      <c r="D14" s="14">
        <v>6500.0</v>
      </c>
      <c r="E14" s="14">
        <v>20000.0</v>
      </c>
      <c r="F14" s="14">
        <v>0.0</v>
      </c>
      <c r="G14" s="11" t="s">
        <v>30</v>
      </c>
      <c r="H14" s="8">
        <v>0.04</v>
      </c>
    </row>
    <row r="15">
      <c r="A15" s="2" t="s">
        <v>31</v>
      </c>
      <c r="B15" s="6"/>
      <c r="C15" s="14">
        <v>15000.0</v>
      </c>
      <c r="D15" s="14">
        <v>0.0</v>
      </c>
      <c r="E15" s="14">
        <v>0.0</v>
      </c>
      <c r="F15" s="14">
        <v>0.0</v>
      </c>
      <c r="G15" s="11" t="s">
        <v>32</v>
      </c>
      <c r="H15" s="9">
        <v>80.0</v>
      </c>
    </row>
    <row r="16">
      <c r="A16" s="2" t="s">
        <v>33</v>
      </c>
      <c r="B16" s="6"/>
      <c r="C16" s="14">
        <v>7000.0</v>
      </c>
      <c r="D16" s="14">
        <v>1000.0</v>
      </c>
      <c r="E16" s="14">
        <v>0.0</v>
      </c>
      <c r="F16" s="14">
        <v>0.0</v>
      </c>
      <c r="G16" s="11" t="s">
        <v>34</v>
      </c>
      <c r="H16" s="7">
        <f>SUM(Details!N4:N88)</f>
        <v>1150000</v>
      </c>
    </row>
    <row r="17">
      <c r="A17" s="2" t="s">
        <v>35</v>
      </c>
      <c r="B17" s="6"/>
      <c r="C17" s="7">
        <f>(C14+C15+C16)*H17</f>
        <v>90000</v>
      </c>
      <c r="D17" s="7">
        <f>(D14+D15+D16)*H17</f>
        <v>15000</v>
      </c>
      <c r="E17" s="7">
        <f>(E14+E15+E16)*H17</f>
        <v>40000</v>
      </c>
      <c r="F17" s="7">
        <f>(F14+F15+F16)</f>
        <v>0</v>
      </c>
      <c r="G17" s="11" t="s">
        <v>36</v>
      </c>
      <c r="H17" s="9">
        <v>2.0</v>
      </c>
    </row>
    <row r="18">
      <c r="A18" s="2" t="s">
        <v>37</v>
      </c>
      <c r="B18" s="20"/>
      <c r="C18" s="7">
        <f t="shared" ref="C18:F18" si="3">FV(C12, C4, -C17,-C13, 0)</f>
        <v>3153519.5</v>
      </c>
      <c r="D18" s="7">
        <f t="shared" si="3"/>
        <v>307594.5</v>
      </c>
      <c r="E18" s="7">
        <f t="shared" si="3"/>
        <v>1466623.875</v>
      </c>
      <c r="F18" s="7">
        <f t="shared" si="3"/>
        <v>647892.75</v>
      </c>
      <c r="G18" s="11" t="s">
        <v>38</v>
      </c>
      <c r="H18" s="9" t="s">
        <v>39</v>
      </c>
    </row>
    <row r="19">
      <c r="A19" s="2" t="s">
        <v>40</v>
      </c>
      <c r="B19" s="6"/>
      <c r="C19" s="7">
        <f>C18</f>
        <v>3153519.5</v>
      </c>
      <c r="D19" s="7">
        <f t="shared" ref="D19:F19" si="4">C19+D18</f>
        <v>3461114</v>
      </c>
      <c r="E19" s="7">
        <f t="shared" si="4"/>
        <v>4927737.875</v>
      </c>
      <c r="F19" s="7">
        <f t="shared" si="4"/>
        <v>5575630.625</v>
      </c>
      <c r="G19" s="21" t="s">
        <v>41</v>
      </c>
      <c r="H19" s="22" t="str">
        <f t="array" ref="H19">IFERROR(INDEX(Details!$B$4:Details!$B$107,MATCH(TRUE,Details!$S$4:Details!$S$107&lt;0,0))-1,"Forever")</f>
        <v>Forever</v>
      </c>
    </row>
    <row r="20">
      <c r="A20" s="2" t="s">
        <v>42</v>
      </c>
      <c r="B20" s="23">
        <f>-B11</f>
        <v>-4454461.44</v>
      </c>
      <c r="C20" s="23">
        <f t="shared" ref="C20:F20" si="5">B20+C18</f>
        <v>-1300941.94</v>
      </c>
      <c r="D20" s="23">
        <f t="shared" si="5"/>
        <v>-993347.44</v>
      </c>
      <c r="E20" s="23">
        <f t="shared" si="5"/>
        <v>473276.435</v>
      </c>
      <c r="F20" s="23">
        <f t="shared" si="5"/>
        <v>1121169.185</v>
      </c>
      <c r="G20" s="24" t="s">
        <v>43</v>
      </c>
      <c r="H20" s="25">
        <f t="array" ref="H20">INDEX(Details!$S$4:Details!$S$107,MATCH(TRUE,Details!$B$4:Details!$B$107=H15,0))</f>
        <v>15899099.04</v>
      </c>
    </row>
    <row r="22">
      <c r="A22" s="9" t="s">
        <v>44</v>
      </c>
    </row>
  </sheetData>
  <mergeCells count="1">
    <mergeCell ref="A22:C22"/>
  </mergeCells>
  <conditionalFormatting sqref="H20">
    <cfRule type="cellIs" dxfId="0" priority="1" operator="greaterThan">
      <formula>0</formula>
    </cfRule>
  </conditionalFormatting>
  <conditionalFormatting sqref="H20">
    <cfRule type="cellIs" dxfId="1" priority="2" operator="lessThanOrEqual">
      <formula>0</formula>
    </cfRule>
  </conditionalFormatting>
  <conditionalFormatting sqref="C20:F20">
    <cfRule type="cellIs" dxfId="1" priority="3" operator="lessThan">
      <formula>0</formula>
    </cfRule>
  </conditionalFormatting>
  <conditionalFormatting sqref="C20:F20">
    <cfRule type="cellIs" dxfId="0" priority="4" operator="greater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75"/>
    <col customWidth="1" min="2" max="2" width="4.0"/>
    <col customWidth="1" min="3" max="3" width="17.63"/>
    <col customWidth="1" min="4" max="4" width="7.5"/>
    <col customWidth="1" min="5" max="6" width="9.38"/>
    <col customWidth="1" min="7" max="7" width="9.13"/>
    <col customWidth="1" min="8" max="8" width="10.0"/>
    <col customWidth="1" min="9" max="9" width="7.63"/>
    <col customWidth="1" min="10" max="10" width="8.25"/>
    <col customWidth="1" min="11" max="14" width="8.38"/>
    <col customWidth="1" min="15" max="15" width="12.25"/>
    <col customWidth="1" min="16" max="16" width="10.0"/>
    <col customWidth="1" min="17" max="17" width="8.75"/>
    <col customWidth="1" min="18" max="18" width="10.13"/>
    <col customWidth="1" min="19" max="19" width="9.88"/>
    <col customWidth="1" min="20" max="20" width="8.38"/>
    <col customWidth="1" min="21" max="21" width="7.38"/>
    <col customWidth="1" min="22" max="22" width="9.13"/>
    <col customWidth="1" min="23" max="23" width="10.13"/>
    <col customWidth="1" min="24" max="24" width="9.38"/>
    <col customWidth="1" min="25" max="25" width="8.75"/>
    <col customWidth="1" min="26" max="26" width="7.5"/>
    <col customWidth="1" min="27" max="27" width="6.88"/>
    <col customWidth="1" min="28" max="28" width="6.5"/>
    <col customWidth="1" min="29" max="29" width="11.0"/>
    <col customWidth="1" min="30" max="30" width="8.38"/>
  </cols>
  <sheetData>
    <row r="1" ht="40.5" customHeight="1">
      <c r="A1" s="26" t="s">
        <v>45</v>
      </c>
      <c r="B1" s="26" t="s">
        <v>46</v>
      </c>
      <c r="C1" s="26" t="s">
        <v>47</v>
      </c>
      <c r="D1" s="27" t="s">
        <v>48</v>
      </c>
      <c r="E1" s="27" t="s">
        <v>49</v>
      </c>
      <c r="F1" s="27" t="s">
        <v>50</v>
      </c>
      <c r="G1" s="27" t="s">
        <v>51</v>
      </c>
      <c r="H1" s="27" t="s">
        <v>52</v>
      </c>
      <c r="I1" s="27" t="s">
        <v>53</v>
      </c>
      <c r="J1" s="27" t="s">
        <v>54</v>
      </c>
      <c r="K1" s="27" t="s">
        <v>55</v>
      </c>
      <c r="L1" s="27" t="s">
        <v>56</v>
      </c>
      <c r="M1" s="26" t="s">
        <v>57</v>
      </c>
      <c r="N1" s="27" t="s">
        <v>58</v>
      </c>
      <c r="O1" s="26" t="s">
        <v>59</v>
      </c>
      <c r="P1" s="27" t="s">
        <v>60</v>
      </c>
      <c r="Q1" s="27" t="s">
        <v>61</v>
      </c>
      <c r="R1" s="27" t="s">
        <v>62</v>
      </c>
      <c r="S1" s="27" t="s">
        <v>63</v>
      </c>
      <c r="T1" s="27" t="s">
        <v>64</v>
      </c>
      <c r="U1" s="27" t="s">
        <v>65</v>
      </c>
      <c r="V1" s="27" t="s">
        <v>66</v>
      </c>
      <c r="W1" s="27" t="s">
        <v>67</v>
      </c>
      <c r="X1" s="27" t="s">
        <v>68</v>
      </c>
      <c r="Y1" s="28" t="s">
        <v>69</v>
      </c>
      <c r="Z1" s="27" t="s">
        <v>70</v>
      </c>
      <c r="AA1" s="28" t="s">
        <v>71</v>
      </c>
      <c r="AB1" s="28" t="s">
        <v>72</v>
      </c>
      <c r="AC1" s="28" t="s">
        <v>73</v>
      </c>
      <c r="AD1" s="27" t="s">
        <v>74</v>
      </c>
      <c r="AE1" s="29"/>
      <c r="AF1" s="29"/>
      <c r="AG1" s="29"/>
      <c r="AH1" s="29"/>
      <c r="AI1" s="29"/>
      <c r="AJ1" s="29"/>
      <c r="AK1" s="29"/>
    </row>
    <row r="2">
      <c r="A2" s="30">
        <v>2020.0</v>
      </c>
      <c r="B2" s="30">
        <f>A2-Calculator!$H$8</f>
        <v>47</v>
      </c>
      <c r="C2" s="31"/>
      <c r="D2" s="32"/>
      <c r="E2" s="33"/>
      <c r="F2" s="33"/>
      <c r="G2" s="32"/>
      <c r="H2" s="32"/>
      <c r="I2" s="34"/>
      <c r="J2" s="34"/>
      <c r="K2" s="32"/>
      <c r="L2" s="32"/>
      <c r="M2" s="32"/>
      <c r="N2" s="14"/>
      <c r="O2" s="34"/>
      <c r="P2" s="34"/>
      <c r="Q2" s="34"/>
      <c r="R2" s="35"/>
      <c r="S2" s="36"/>
      <c r="T2" s="35"/>
      <c r="U2" s="36"/>
      <c r="V2" s="36"/>
      <c r="W2" s="36"/>
      <c r="X2" s="36"/>
      <c r="Y2" s="37"/>
      <c r="Z2" s="36"/>
      <c r="AA2" s="37"/>
      <c r="AB2" s="37"/>
      <c r="AC2" s="37"/>
      <c r="AD2" s="36"/>
      <c r="AE2" s="36"/>
      <c r="AF2" s="36"/>
      <c r="AG2" s="36"/>
      <c r="AH2" s="36"/>
      <c r="AI2" s="36"/>
      <c r="AJ2" s="36"/>
      <c r="AK2" s="36"/>
    </row>
    <row r="3">
      <c r="A3" s="30">
        <v>2021.0</v>
      </c>
      <c r="B3" s="30">
        <f>A3-Calculator!$H$8</f>
        <v>48</v>
      </c>
      <c r="C3" s="31"/>
      <c r="D3" s="32"/>
      <c r="E3" s="33"/>
      <c r="F3" s="33"/>
      <c r="G3" s="32"/>
      <c r="H3" s="32"/>
      <c r="I3" s="34"/>
      <c r="J3" s="34"/>
      <c r="K3" s="32"/>
      <c r="L3" s="32"/>
      <c r="M3" s="32"/>
      <c r="N3" s="14"/>
      <c r="O3" s="34"/>
      <c r="P3" s="34"/>
      <c r="Q3" s="34"/>
      <c r="R3" s="35"/>
      <c r="S3" s="36"/>
      <c r="T3" s="35"/>
      <c r="U3" s="36"/>
      <c r="V3" s="36"/>
      <c r="W3" s="36"/>
      <c r="X3" s="36"/>
      <c r="Y3" s="37"/>
      <c r="Z3" s="36"/>
      <c r="AA3" s="37"/>
      <c r="AB3" s="37"/>
      <c r="AC3" s="37"/>
      <c r="AD3" s="36"/>
      <c r="AE3" s="36"/>
      <c r="AF3" s="36"/>
      <c r="AG3" s="36"/>
      <c r="AH3" s="36"/>
      <c r="AI3" s="36"/>
      <c r="AJ3" s="36"/>
      <c r="AK3" s="36"/>
    </row>
    <row r="4">
      <c r="A4" s="30">
        <v>2022.0</v>
      </c>
      <c r="B4" s="30">
        <f>A4-Calculator!$H$8</f>
        <v>49</v>
      </c>
      <c r="D4" s="32">
        <f>IF(D3=0,IF(B4&gt;=Calculator!$H$10,Calculator!$H$11,0)*Calculator!$H$17,D3*(1+Calculator!$H$6))</f>
        <v>0</v>
      </c>
      <c r="E4" s="33">
        <f>IF(B4&gt;=Calculator!$H$9,T3*Calculator!$H$14,0)</f>
        <v>0</v>
      </c>
      <c r="F4" s="33">
        <f>IF(B4&gt;=Calculator!$H$9,U3*Calculator!$H$14,0)</f>
        <v>0</v>
      </c>
      <c r="G4" s="33">
        <f>IF(B4&gt;=Calculator!$H$7,V3*Calculator!$H$14,0)</f>
        <v>0</v>
      </c>
      <c r="H4" s="33">
        <f>IF(B4&gt;=Calculator!$H$7,IF(W3&lt;=0,0,W3*Calculator!$H$14),0)</f>
        <v>0</v>
      </c>
      <c r="I4" s="32">
        <f>IF(I3=0,IF(B4&gt;=Calculator!$H$7,Calculator!$H$12,0),I3*(1+Calculator!$H$6))</f>
        <v>0</v>
      </c>
      <c r="J4" s="34">
        <f>(D4*0.85+E4+H4+I4)*(1-Calculator!$H$5)+D4*0.15+(G4)*(1-Calculator!$H$4)+F4</f>
        <v>0</v>
      </c>
      <c r="K4" s="38">
        <f t="shared" ref="K4:K88" si="1">D4+E4+F4+G4+H4+I4</f>
        <v>0</v>
      </c>
      <c r="L4" s="38">
        <f t="shared" ref="L4:L88" si="2">K4-AB4</f>
        <v>0</v>
      </c>
      <c r="M4" s="38">
        <f>IF(B4=Calculator!$H$7,Calculator!$B$8,M3*(1+Calculator!$H$6))</f>
        <v>0</v>
      </c>
      <c r="N4" s="14"/>
      <c r="O4" s="34">
        <f t="shared" ref="O4:O88" si="3">M4+N4</f>
        <v>0</v>
      </c>
      <c r="P4" s="34">
        <f t="shared" ref="P4:P88" si="4">L4-O4</f>
        <v>0</v>
      </c>
      <c r="Q4" s="34">
        <f>IF(Calculator!$H$18="Y",Q3+IF(Q3&lt;0,Q3*Calculator!$H$2,Q3*Calculator!$H$3)+P4,0)</f>
        <v>0</v>
      </c>
      <c r="R4" s="35">
        <f t="shared" ref="R4:R88" si="5">T4+U4+V4+W4</f>
        <v>1492825.211</v>
      </c>
      <c r="S4" s="37">
        <f t="shared" ref="S4:S88" si="6">Q4+R4</f>
        <v>1492825.211</v>
      </c>
      <c r="T4" s="35">
        <f>IF(B4&gt;=Calculator!$H$7,T3*(1+Calculator!$H$3)-E4,FV(Calculator!$H$1,B4+Calculator!$H$8-Calculator!$B$2, -Calculator!$C$17,-Calculator!$C$13))</f>
        <v>811087.0101</v>
      </c>
      <c r="U4" s="35">
        <f>IF(B4&gt;=Calculator!$H$7,U3*(1+Calculator!$H$3)-F4,FV(Calculator!$H$1,B4+Calculator!$H$8-Calculator!$B$2, -Calculator!$D$17,-Calculator!$D$13))</f>
        <v>53229.86982</v>
      </c>
      <c r="V4" s="35">
        <f>IF(B4&gt;=Calculator!$H$7,V3*(1+Calculator!$H$3)-G4,FV(Calculator!$H$1,B4+Calculator!$H$8-Calculator!$B$2, -Calculator!$E$17,-Calculator!$E$13))</f>
        <v>384941.4489</v>
      </c>
      <c r="W4" s="35">
        <f>IF(B4&gt;=Calculator!$H$7,W3*(1+Calculator!$H$3)-H4,FV(Calculator!$H$1,B4+Calculator!$H$8-Calculator!$B$2, -Calculator!$F$17,-Calculator!$F$13))+P4</f>
        <v>243566.8826</v>
      </c>
      <c r="X4" s="37">
        <f t="shared" ref="X4:X5" si="7">D4*0.85+E4+G4+H4</f>
        <v>0</v>
      </c>
      <c r="Y4" s="39">
        <v>26000.0</v>
      </c>
      <c r="Z4" s="36">
        <f t="shared" ref="Z4:Z88" si="8">IF(X4&gt;0,D4*0.15+F4+Y4,0)</f>
        <v>0</v>
      </c>
      <c r="AA4" s="37">
        <f t="shared" ref="AA4:AA88" si="9">X4-Z4</f>
        <v>0</v>
      </c>
      <c r="AB4" s="37">
        <f>AA4*Calculator!$H$5</f>
        <v>0</v>
      </c>
      <c r="AC4" s="37"/>
      <c r="AD4" s="36"/>
      <c r="AE4" s="36"/>
      <c r="AF4" s="36"/>
      <c r="AG4" s="36"/>
      <c r="AH4" s="36"/>
      <c r="AI4" s="36"/>
      <c r="AJ4" s="36"/>
      <c r="AK4" s="36"/>
    </row>
    <row r="5">
      <c r="A5" s="30">
        <v>2023.0</v>
      </c>
      <c r="B5" s="30">
        <f>A5-Calculator!$H$8</f>
        <v>50</v>
      </c>
      <c r="C5" s="31" t="s">
        <v>75</v>
      </c>
      <c r="D5" s="32">
        <f>IF(D4=0,IF(B5&gt;=Calculator!$H$10,Calculator!$H$11,0)*Calculator!$H$17,D4*(1+Calculator!$H$6))</f>
        <v>0</v>
      </c>
      <c r="E5" s="33">
        <f>IF(B5&gt;=Calculator!$H$9,T4*Calculator!$H$14,0)</f>
        <v>0</v>
      </c>
      <c r="F5" s="33">
        <f>IF(B5&gt;=Calculator!$H$9,U4*Calculator!$H$14,0)</f>
        <v>0</v>
      </c>
      <c r="G5" s="33">
        <f>IF(B5&gt;=Calculator!$H$7,V4*Calculator!$H$14,0)</f>
        <v>0</v>
      </c>
      <c r="H5" s="33">
        <f>IF(B5&gt;=Calculator!$H$7,IF(W4&lt;=0,0,W4*Calculator!$H$14),0)</f>
        <v>0</v>
      </c>
      <c r="I5" s="32">
        <f>IF(I4=0,IF(B5&gt;=Calculator!$H$7,Calculator!$H$12,0),I4*(1+Calculator!$H$6))</f>
        <v>0</v>
      </c>
      <c r="J5" s="34">
        <f>(D5*0.85+E5+H5+I5)*(1-Calculator!$H$5)+D5*0.15+(G5)*(1-Calculator!$H$4)+F5</f>
        <v>0</v>
      </c>
      <c r="K5" s="38">
        <f t="shared" si="1"/>
        <v>0</v>
      </c>
      <c r="L5" s="38">
        <f t="shared" si="2"/>
        <v>0</v>
      </c>
      <c r="M5" s="38">
        <f>IF(B5=Calculator!$C$2,Calculator!$B$8,M4*(1+Calculator!$H$6))</f>
        <v>0</v>
      </c>
      <c r="N5" s="14">
        <v>0.0</v>
      </c>
      <c r="O5" s="34">
        <f t="shared" si="3"/>
        <v>0</v>
      </c>
      <c r="P5" s="34">
        <f t="shared" si="4"/>
        <v>0</v>
      </c>
      <c r="Q5" s="34">
        <f>IF(Calculator!$H$18="Y",Q4+IF(Q4&lt;0,Q4*Calculator!$H$2,Q4*Calculator!$H$3)+P5,0)</f>
        <v>0</v>
      </c>
      <c r="R5" s="35">
        <f t="shared" si="5"/>
        <v>1861748.993</v>
      </c>
      <c r="S5" s="37">
        <f t="shared" si="6"/>
        <v>1861748.993</v>
      </c>
      <c r="T5" s="35">
        <f>IF(B5&gt;=Calculator!$H$7,T4*(1+Calculator!$H$3)-E5,FV(Calculator!$H$1,B5+Calculator!$H$8-Calculator!$B$2, -Calculator!$C$17,-Calculator!$C$13))</f>
        <v>1022750.062</v>
      </c>
      <c r="U5" s="35">
        <f>IF(B5&gt;=Calculator!$H$7,U4*(1+Calculator!$H$3)-F5,FV(Calculator!$H$1,B5+Calculator!$H$8-Calculator!$B$2, -Calculator!$D$17,-Calculator!$D$13))</f>
        <v>76214.35029</v>
      </c>
      <c r="V5" s="35">
        <f>IF(B5&gt;=Calculator!$H$7,V4*(1+Calculator!$H$3)-G5,FV(Calculator!$H$1,B5+Calculator!$H$8-Calculator!$B$2, -Calculator!$E$17,-Calculator!$E$13))</f>
        <v>482682.6662</v>
      </c>
      <c r="W5" s="35">
        <f>IF(B5&gt;=Calculator!$H$7,W4*(1+Calculator!$H$3)-H5,FV(Calculator!$H$1,B5+Calculator!$H$8-Calculator!$B$2, -Calculator!$F$17,-Calculator!$F$13))+P5</f>
        <v>280101.915</v>
      </c>
      <c r="X5" s="37">
        <f t="shared" si="7"/>
        <v>0</v>
      </c>
      <c r="Y5" s="37">
        <f>Y4*(1+Calculator!$H$6)</f>
        <v>27040</v>
      </c>
      <c r="Z5" s="36">
        <f t="shared" si="8"/>
        <v>0</v>
      </c>
      <c r="AA5" s="37">
        <f t="shared" si="9"/>
        <v>0</v>
      </c>
      <c r="AB5" s="37">
        <f>AA5*Calculator!$H$5</f>
        <v>0</v>
      </c>
      <c r="AC5" s="37">
        <f t="shared" ref="AC5:AC88" si="10">IF((X5+Z5)=0,0,AB5/(X5+Z5)*100)</f>
        <v>0</v>
      </c>
      <c r="AD5" s="37">
        <f t="shared" ref="AD5:AD24" si="11">T5-T4</f>
        <v>211663.0515</v>
      </c>
      <c r="AE5" s="36"/>
      <c r="AF5" s="36"/>
      <c r="AG5" s="36"/>
      <c r="AH5" s="36"/>
      <c r="AI5" s="36"/>
      <c r="AJ5" s="36"/>
      <c r="AK5" s="36"/>
    </row>
    <row r="6">
      <c r="A6" s="30">
        <v>2024.0</v>
      </c>
      <c r="B6" s="30">
        <f>A6-Calculator!$H$8</f>
        <v>51</v>
      </c>
      <c r="C6" s="40" t="s">
        <v>76</v>
      </c>
      <c r="D6" s="32">
        <f>IF(D5=0,IF(B6&gt;=Calculator!$H$10,Calculator!$H$11,0)*Calculator!$H$17,D5*(1+Calculator!$H$6))</f>
        <v>0</v>
      </c>
      <c r="E6" s="33">
        <f>IF(B6&gt;=Calculator!$H$9,T5*Calculator!$H$14,0)</f>
        <v>0</v>
      </c>
      <c r="F6" s="33">
        <f>IF(B6&gt;=Calculator!$H$9,U5*Calculator!$H$14,0)</f>
        <v>0</v>
      </c>
      <c r="G6" s="33">
        <f>IF(B6&gt;=Calculator!$H$7,V5*Calculator!$H$14,0)</f>
        <v>0</v>
      </c>
      <c r="H6" s="33">
        <f>IF(B6&gt;=Calculator!$H$7,IF(W5&lt;=0,0,W5*Calculator!$H$14),0)</f>
        <v>0</v>
      </c>
      <c r="I6" s="32">
        <f>IF(I5=0,IF(B6&gt;=Calculator!$H$7,Calculator!$H$12,0),I5*(1+Calculator!$H$6))</f>
        <v>0</v>
      </c>
      <c r="J6" s="34">
        <f>(D6*0.85+E6+H6+I6)*(1-Calculator!$H$5)+D6*0.15+(G6)*(1-Calculator!$H$4)+F6</f>
        <v>0</v>
      </c>
      <c r="K6" s="38">
        <f t="shared" si="1"/>
        <v>0</v>
      </c>
      <c r="L6" s="38">
        <f t="shared" si="2"/>
        <v>0</v>
      </c>
      <c r="M6" s="38">
        <f>IF(B6=Calculator!$C$2,Calculator!$B$8,M5*(1+Calculator!$H$6))</f>
        <v>0</v>
      </c>
      <c r="N6" s="41">
        <v>0.0</v>
      </c>
      <c r="O6" s="34">
        <f t="shared" si="3"/>
        <v>0</v>
      </c>
      <c r="P6" s="34">
        <f t="shared" si="4"/>
        <v>0</v>
      </c>
      <c r="Q6" s="34">
        <f>IF(Calculator!$H$18="Y",Q5+IF(Q5&lt;0,Q5*Calculator!$H$2,Q5*Calculator!$H$3)+P6,0)</f>
        <v>0</v>
      </c>
      <c r="R6" s="35">
        <f t="shared" si="5"/>
        <v>2286011.342</v>
      </c>
      <c r="S6" s="37">
        <f t="shared" si="6"/>
        <v>2286011.342</v>
      </c>
      <c r="T6" s="35">
        <f>IF(B6&gt;=Calculator!$H$7,T5*(1+Calculator!$H$3)-E6,FV(Calculator!$H$1,B6+Calculator!$H$8-Calculator!$B$2, -Calculator!$C$17,-Calculator!$C$13))</f>
        <v>1266162.571</v>
      </c>
      <c r="U6" s="35">
        <f>IF(B6&gt;=Calculator!$H$7,U5*(1+Calculator!$H$3)-F6,FV(Calculator!$H$1,B6+Calculator!$H$8-Calculator!$B$2, -Calculator!$D$17,-Calculator!$D$13))</f>
        <v>102646.5028</v>
      </c>
      <c r="V6" s="35">
        <f>IF(B6&gt;=Calculator!$H$7,V5*(1+Calculator!$H$3)-G6,FV(Calculator!$H$1,B6+Calculator!$H$8-Calculator!$B$2, -Calculator!$E$17,-Calculator!$E$13))</f>
        <v>595085.0662</v>
      </c>
      <c r="W6" s="35">
        <f>IF(B6&gt;=Calculator!$H$7,W5*(1+Calculator!$H$3)-H6,FV(Calculator!$H$1,B6+Calculator!$H$8-Calculator!$B$2, -Calculator!$F$17,-Calculator!$F$13))+P6</f>
        <v>322117.2023</v>
      </c>
      <c r="X6" s="37">
        <f t="shared" ref="X6:X88" si="12">D6+E6+G6+H6</f>
        <v>0</v>
      </c>
      <c r="Y6" s="37">
        <f>Y5*(1+Calculator!$H$6)</f>
        <v>28121.6</v>
      </c>
      <c r="Z6" s="36">
        <f t="shared" si="8"/>
        <v>0</v>
      </c>
      <c r="AA6" s="37">
        <f t="shared" si="9"/>
        <v>0</v>
      </c>
      <c r="AB6" s="37">
        <f>AA6*Calculator!$H$5</f>
        <v>0</v>
      </c>
      <c r="AC6" s="37">
        <f t="shared" si="10"/>
        <v>0</v>
      </c>
      <c r="AD6" s="37">
        <f t="shared" si="11"/>
        <v>243412.5092</v>
      </c>
      <c r="AE6" s="36"/>
      <c r="AF6" s="36"/>
      <c r="AG6" s="36"/>
      <c r="AH6" s="36"/>
      <c r="AI6" s="36"/>
      <c r="AJ6" s="36"/>
      <c r="AK6" s="36"/>
    </row>
    <row r="7">
      <c r="A7" s="30">
        <v>2025.0</v>
      </c>
      <c r="B7" s="30">
        <f>A7-Calculator!$H$8</f>
        <v>52</v>
      </c>
      <c r="C7" s="31" t="s">
        <v>77</v>
      </c>
      <c r="D7" s="32">
        <f>IF(D6=0,IF(B7&gt;=Calculator!$H$10,Calculator!$H$11,0)*Calculator!$H$17,D6*(1+Calculator!$H$6))</f>
        <v>0</v>
      </c>
      <c r="E7" s="33">
        <f>IF(B7&gt;=Calculator!$H$9,T6*Calculator!$H$14,0)</f>
        <v>0</v>
      </c>
      <c r="F7" s="33">
        <f>IF(B7&gt;=Calculator!$H$9,U6*Calculator!$H$14,0)</f>
        <v>0</v>
      </c>
      <c r="G7" s="33">
        <f>IF(B7&gt;=Calculator!$H$7,V6*Calculator!$H$14,0)</f>
        <v>0</v>
      </c>
      <c r="H7" s="33">
        <f>IF(B7&gt;=Calculator!$H$7,IF(W6&lt;=0,0,W6*Calculator!$H$14),0)</f>
        <v>0</v>
      </c>
      <c r="I7" s="32">
        <f>IF(I6=0,IF(B7&gt;=Calculator!$H$7,Calculator!$H$12,0),I6*(1+Calculator!$H$6))</f>
        <v>0</v>
      </c>
      <c r="J7" s="34">
        <f>(D7*0.85+E7+H7+I7)*(1-Calculator!$H$5)+D7*0.15+(G7)*(1-Calculator!$H$4)+F7</f>
        <v>0</v>
      </c>
      <c r="K7" s="38">
        <f t="shared" si="1"/>
        <v>0</v>
      </c>
      <c r="L7" s="38">
        <f t="shared" si="2"/>
        <v>0</v>
      </c>
      <c r="M7" s="38">
        <f>IF(B7=Calculator!$C$2,Calculator!$B$8,M6*(1+Calculator!$H$6))</f>
        <v>0</v>
      </c>
      <c r="N7" s="41">
        <v>0.0</v>
      </c>
      <c r="O7" s="34">
        <f t="shared" si="3"/>
        <v>0</v>
      </c>
      <c r="P7" s="34">
        <f t="shared" si="4"/>
        <v>0</v>
      </c>
      <c r="Q7" s="34">
        <f>IF(Calculator!$H$18="Y",Q6+IF(Q6&lt;0,Q6*Calculator!$H$2,Q6*Calculator!$H$3)+P7,0)</f>
        <v>0</v>
      </c>
      <c r="R7" s="35">
        <f t="shared" si="5"/>
        <v>2773913.043</v>
      </c>
      <c r="S7" s="37">
        <f t="shared" si="6"/>
        <v>2773913.043</v>
      </c>
      <c r="T7" s="35">
        <f>IF(B7&gt;=Calculator!$H$7,T6*(1+Calculator!$H$3)-E7,FV(Calculator!$H$1,B7+Calculator!$H$8-Calculator!$B$2, -Calculator!$C$17,-Calculator!$C$13))</f>
        <v>1546086.957</v>
      </c>
      <c r="U7" s="35">
        <f>IF(B7&gt;=Calculator!$H$7,U6*(1+Calculator!$H$3)-F7,FV(Calculator!$H$1,B7+Calculator!$H$8-Calculator!$B$2, -Calculator!$D$17,-Calculator!$D$13))</f>
        <v>133043.4783</v>
      </c>
      <c r="V7" s="35">
        <f>IF(B7&gt;=Calculator!$H$7,V6*(1+Calculator!$H$3)-G7,FV(Calculator!$H$1,B7+Calculator!$H$8-Calculator!$B$2, -Calculator!$E$17,-Calculator!$E$13))</f>
        <v>724347.8261</v>
      </c>
      <c r="W7" s="35">
        <f>IF(B7&gt;=Calculator!$H$7,W6*(1+Calculator!$H$3)-H7,FV(Calculator!$H$1,B7+Calculator!$H$8-Calculator!$B$2, -Calculator!$F$17,-Calculator!$F$13))+P7</f>
        <v>370434.7826</v>
      </c>
      <c r="X7" s="37">
        <f t="shared" si="12"/>
        <v>0</v>
      </c>
      <c r="Y7" s="37">
        <f>Y6*(1+Calculator!$H$6)</f>
        <v>29246.464</v>
      </c>
      <c r="Z7" s="36">
        <f t="shared" si="8"/>
        <v>0</v>
      </c>
      <c r="AA7" s="37">
        <f t="shared" si="9"/>
        <v>0</v>
      </c>
      <c r="AB7" s="37">
        <f>AA7*Calculator!$H$5</f>
        <v>0</v>
      </c>
      <c r="AC7" s="37">
        <f t="shared" si="10"/>
        <v>0</v>
      </c>
      <c r="AD7" s="37">
        <f t="shared" si="11"/>
        <v>279924.3856</v>
      </c>
      <c r="AE7" s="36"/>
      <c r="AF7" s="36"/>
      <c r="AG7" s="36"/>
      <c r="AH7" s="36"/>
      <c r="AI7" s="36"/>
      <c r="AJ7" s="36"/>
      <c r="AK7" s="36"/>
    </row>
    <row r="8">
      <c r="A8" s="30">
        <v>2026.0</v>
      </c>
      <c r="B8" s="30">
        <f>A8-Calculator!$H$8</f>
        <v>53</v>
      </c>
      <c r="C8" s="31"/>
      <c r="D8" s="32">
        <f>IF(D7=0,IF(B8&gt;=Calculator!$H$10,Calculator!$H$11,0)*Calculator!$H$17,D7*(1+Calculator!$H$6))</f>
        <v>0</v>
      </c>
      <c r="E8" s="33">
        <f>IF(B8&gt;=Calculator!$H$9,T7*Calculator!$H$14,0)</f>
        <v>0</v>
      </c>
      <c r="F8" s="33">
        <f>IF(B8&gt;=Calculator!$H$9,U7*Calculator!$H$14,0)</f>
        <v>0</v>
      </c>
      <c r="G8" s="33">
        <f>IF(B8&gt;=Calculator!$H$7,V7*Calculator!$H$14,0)</f>
        <v>0</v>
      </c>
      <c r="H8" s="33">
        <f>IF(B8&gt;=Calculator!$H$7,IF(W7&lt;=0,0,W7*Calculator!$H$14),0)</f>
        <v>0</v>
      </c>
      <c r="I8" s="32">
        <f>IF(I7=0,IF(B8&gt;=Calculator!$H$7,Calculator!$H$12,0),I7*(1+Calculator!$H$6))</f>
        <v>0</v>
      </c>
      <c r="J8" s="34">
        <f>(D8*0.85+E8+H8+I8)*(1-Calculator!$H$5)+D8*0.15+(G8)*(1-Calculator!$H$4)+F8</f>
        <v>0</v>
      </c>
      <c r="K8" s="38">
        <f t="shared" si="1"/>
        <v>0</v>
      </c>
      <c r="L8" s="38">
        <f t="shared" si="2"/>
        <v>0</v>
      </c>
      <c r="M8" s="38">
        <f>IF(B8=Calculator!$C$2,Calculator!$B$8,M7*(1+Calculator!$H$6))</f>
        <v>0</v>
      </c>
      <c r="N8" s="41"/>
      <c r="O8" s="34">
        <f t="shared" si="3"/>
        <v>0</v>
      </c>
      <c r="P8" s="34">
        <f t="shared" si="4"/>
        <v>0</v>
      </c>
      <c r="Q8" s="34">
        <f>IF(Calculator!$H$18="Y",Q7+IF(Q7&lt;0,Q7*Calculator!$H$2,Q7*Calculator!$H$3)+P8,0)</f>
        <v>0</v>
      </c>
      <c r="R8" s="35">
        <f t="shared" si="5"/>
        <v>3335000</v>
      </c>
      <c r="S8" s="37">
        <f t="shared" si="6"/>
        <v>3335000</v>
      </c>
      <c r="T8" s="35">
        <f>IF(B8&gt;=Calculator!$H$7,T7*(1+Calculator!$H$3)-E8,FV(Calculator!$H$1,B8+Calculator!$H$8-Calculator!$B$2, -Calculator!$C$17,-Calculator!$C$13))</f>
        <v>1868000</v>
      </c>
      <c r="U8" s="35">
        <f>IF(B8&gt;=Calculator!$H$7,U7*(1+Calculator!$H$3)-F8,FV(Calculator!$H$1,B8+Calculator!$H$8-Calculator!$B$2, -Calculator!$D$17,-Calculator!$D$13))</f>
        <v>168000</v>
      </c>
      <c r="V8" s="35">
        <f>IF(B8&gt;=Calculator!$H$7,V7*(1+Calculator!$H$3)-G8,FV(Calculator!$H$1,B8+Calculator!$H$8-Calculator!$B$2, -Calculator!$E$17,-Calculator!$E$13))</f>
        <v>873000</v>
      </c>
      <c r="W8" s="35">
        <f>IF(B8&gt;=Calculator!$H$7,W7*(1+Calculator!$H$3)-H8,FV(Calculator!$H$1,B8+Calculator!$H$8-Calculator!$B$2, -Calculator!$F$17,-Calculator!$F$13))+P8</f>
        <v>426000</v>
      </c>
      <c r="X8" s="37">
        <f t="shared" si="12"/>
        <v>0</v>
      </c>
      <c r="Y8" s="37">
        <f>Y7*(1+Calculator!$H$6)</f>
        <v>30416.32256</v>
      </c>
      <c r="Z8" s="36">
        <f t="shared" si="8"/>
        <v>0</v>
      </c>
      <c r="AA8" s="37">
        <f t="shared" si="9"/>
        <v>0</v>
      </c>
      <c r="AB8" s="37">
        <f>AA8*Calculator!$H$5</f>
        <v>0</v>
      </c>
      <c r="AC8" s="37">
        <f t="shared" si="10"/>
        <v>0</v>
      </c>
      <c r="AD8" s="37">
        <f t="shared" si="11"/>
        <v>321913.0435</v>
      </c>
      <c r="AE8" s="36"/>
      <c r="AF8" s="36"/>
      <c r="AG8" s="36"/>
      <c r="AH8" s="36"/>
      <c r="AI8" s="36"/>
      <c r="AJ8" s="36"/>
      <c r="AK8" s="36"/>
    </row>
    <row r="9">
      <c r="A9" s="30">
        <v>2027.0</v>
      </c>
      <c r="B9" s="30">
        <f>A9-Calculator!$H$8</f>
        <v>54</v>
      </c>
      <c r="C9" s="40" t="s">
        <v>78</v>
      </c>
      <c r="D9" s="32">
        <f>IF(D8=0,IF(B9&gt;=Calculator!$H$10,Calculator!$H$11,0)*Calculator!$H$17,D8*(1+Calculator!$H$6))</f>
        <v>0</v>
      </c>
      <c r="E9" s="33">
        <f>IF(B9&gt;=Calculator!$H$9,T8*Calculator!$H$14,0)</f>
        <v>0</v>
      </c>
      <c r="F9" s="33">
        <f>IF(B9&gt;=Calculator!$H$9,U8*Calculator!$H$14,0)</f>
        <v>0</v>
      </c>
      <c r="G9" s="33">
        <f>IF(B9&gt;=Calculator!$H$7,V8*Calculator!$H$14,0)</f>
        <v>0</v>
      </c>
      <c r="H9" s="33">
        <f>IF(B9&gt;=Calculator!$H$7,IF(W8&lt;=0,0,W8*Calculator!$H$14),0)</f>
        <v>0</v>
      </c>
      <c r="I9" s="32">
        <f>IF(I8=0,IF(B9&gt;=Calculator!$H$7,Calculator!$H$12,0),I8*(1+Calculator!$H$6))</f>
        <v>0</v>
      </c>
      <c r="J9" s="34">
        <f>(D9*0.85+E9+H9+I9)*(1-Calculator!$H$5)+D9*0.15+(G9)*(1-Calculator!$H$4)+F9</f>
        <v>0</v>
      </c>
      <c r="K9" s="38">
        <f t="shared" si="1"/>
        <v>0</v>
      </c>
      <c r="L9" s="38">
        <f t="shared" si="2"/>
        <v>0</v>
      </c>
      <c r="M9" s="38">
        <f>IF(B9=Calculator!$C$2,Calculator!$B$8,M8*(1+Calculator!$H$6))</f>
        <v>0</v>
      </c>
      <c r="N9" s="41">
        <v>100000.0</v>
      </c>
      <c r="O9" s="34">
        <f t="shared" si="3"/>
        <v>100000</v>
      </c>
      <c r="P9" s="34">
        <f t="shared" si="4"/>
        <v>-100000</v>
      </c>
      <c r="Q9" s="34">
        <f>IF(Calculator!$H$18="Y",Q8+IF(Q8&lt;0,Q8*Calculator!$H$2,Q8*Calculator!$H$3)+P9,0)</f>
        <v>0</v>
      </c>
      <c r="R9" s="35">
        <f t="shared" si="5"/>
        <v>3880250</v>
      </c>
      <c r="S9" s="37">
        <f t="shared" si="6"/>
        <v>3880250</v>
      </c>
      <c r="T9" s="35">
        <f>IF(B9&gt;=Calculator!$H$7,T8*(1+Calculator!$H$3)-E9,FV(Calculator!$H$1,B9+Calculator!$H$8-Calculator!$B$2, -Calculator!$C$17,-Calculator!$C$13))</f>
        <v>2238200</v>
      </c>
      <c r="U9" s="35">
        <f>IF(B9&gt;=Calculator!$H$7,U8*(1+Calculator!$H$3)-F9,FV(Calculator!$H$1,B9+Calculator!$H$8-Calculator!$B$2, -Calculator!$D$17,-Calculator!$D$13))</f>
        <v>208200</v>
      </c>
      <c r="V9" s="35">
        <f>IF(B9&gt;=Calculator!$H$7,V8*(1+Calculator!$H$3)-G9,FV(Calculator!$H$1,B9+Calculator!$H$8-Calculator!$B$2, -Calculator!$E$17,-Calculator!$E$13))</f>
        <v>1043950</v>
      </c>
      <c r="W9" s="35">
        <f>IF(B9&gt;=Calculator!$H$7,W8*(1+Calculator!$H$3)-H9,FV(Calculator!$H$1,B9+Calculator!$H$8-Calculator!$B$2, -Calculator!$F$17,-Calculator!$F$13))+P9</f>
        <v>389900</v>
      </c>
      <c r="X9" s="37">
        <f t="shared" si="12"/>
        <v>0</v>
      </c>
      <c r="Y9" s="37">
        <f>Y8*(1+Calculator!$H$6)</f>
        <v>31632.97546</v>
      </c>
      <c r="Z9" s="36">
        <f t="shared" si="8"/>
        <v>0</v>
      </c>
      <c r="AA9" s="37">
        <f t="shared" si="9"/>
        <v>0</v>
      </c>
      <c r="AB9" s="37">
        <f>AA9*Calculator!$H$5</f>
        <v>0</v>
      </c>
      <c r="AC9" s="37">
        <f t="shared" si="10"/>
        <v>0</v>
      </c>
      <c r="AD9" s="37">
        <f t="shared" si="11"/>
        <v>370200</v>
      </c>
      <c r="AE9" s="36"/>
      <c r="AF9" s="36"/>
      <c r="AG9" s="36"/>
      <c r="AH9" s="36"/>
      <c r="AI9" s="36"/>
      <c r="AJ9" s="36"/>
      <c r="AK9" s="36"/>
    </row>
    <row r="10">
      <c r="A10" s="30">
        <v>2028.0</v>
      </c>
      <c r="B10" s="30">
        <f>A10-Calculator!$H$8</f>
        <v>55</v>
      </c>
      <c r="C10" s="31" t="s">
        <v>79</v>
      </c>
      <c r="D10" s="32">
        <f>IF(D9=0,IF(B10&gt;=Calculator!$H$10,Calculator!$H$11,0)*Calculator!$H$17,D9*(1+Calculator!$H$6))</f>
        <v>0</v>
      </c>
      <c r="E10" s="33">
        <f>IF(B10&gt;=Calculator!$H$9,T9*Calculator!$H$14,0)</f>
        <v>0</v>
      </c>
      <c r="F10" s="33">
        <f>IF(B10&gt;=Calculator!$H$9,U9*Calculator!$H$14,0)</f>
        <v>0</v>
      </c>
      <c r="G10" s="33">
        <f>IF(B10&gt;=Calculator!$H$7,V9*Calculator!$H$14,0)</f>
        <v>0</v>
      </c>
      <c r="H10" s="33">
        <f>IF(B10&gt;=Calculator!$H$7,IF(W9&lt;=0,0,W9*Calculator!$H$14),0)</f>
        <v>0</v>
      </c>
      <c r="I10" s="32">
        <f>IF(I9=0,IF(B10&gt;=Calculator!$H$7,Calculator!$H$12,0),I9*(1+Calculator!$H$6))</f>
        <v>0</v>
      </c>
      <c r="J10" s="34">
        <f>(D10*0.85+E10+H10+I10)*(1-Calculator!$H$5)+D10*0.15+(G10)*(1-Calculator!$H$4)+F10</f>
        <v>0</v>
      </c>
      <c r="K10" s="38">
        <f t="shared" si="1"/>
        <v>0</v>
      </c>
      <c r="L10" s="38">
        <f t="shared" si="2"/>
        <v>0</v>
      </c>
      <c r="M10" s="38">
        <f>IF(B10=Calculator!$C$2,Calculator!$B$8,M9*(1+Calculator!$H$6))</f>
        <v>0</v>
      </c>
      <c r="N10" s="41">
        <v>0.0</v>
      </c>
      <c r="O10" s="34">
        <f t="shared" si="3"/>
        <v>0</v>
      </c>
      <c r="P10" s="34">
        <f t="shared" si="4"/>
        <v>0</v>
      </c>
      <c r="Q10" s="34">
        <f>IF(Calculator!$H$18="Y",Q9+IF(Q9&lt;0,Q9*Calculator!$H$2,Q9*Calculator!$H$3)+P10,0)</f>
        <v>0</v>
      </c>
      <c r="R10" s="35">
        <f t="shared" si="5"/>
        <v>4722287.5</v>
      </c>
      <c r="S10" s="37">
        <f t="shared" si="6"/>
        <v>4722287.5</v>
      </c>
      <c r="T10" s="35">
        <f>IF(B10&gt;=Calculator!$H$7,T9*(1+Calculator!$H$3)-E10,FV(Calculator!$H$1,B10+Calculator!$H$8-Calculator!$B$2, -Calculator!$C$17,-Calculator!$C$13))</f>
        <v>2663930</v>
      </c>
      <c r="U10" s="35">
        <f>IF(B10&gt;=Calculator!$H$7,U9*(1+Calculator!$H$3)-F10,FV(Calculator!$H$1,B10+Calculator!$H$8-Calculator!$B$2, -Calculator!$D$17,-Calculator!$D$13))</f>
        <v>254430</v>
      </c>
      <c r="V10" s="35">
        <f>IF(B10&gt;=Calculator!$H$7,V9*(1+Calculator!$H$3)-G10,FV(Calculator!$H$1,B10+Calculator!$H$8-Calculator!$B$2, -Calculator!$E$17,-Calculator!$E$13))</f>
        <v>1240542.5</v>
      </c>
      <c r="W10" s="35">
        <f>IF(B10&gt;=Calculator!$H$7,W9*(1+Calculator!$H$3)-H10,FV(Calculator!$H$1,B10+Calculator!$H$8-Calculator!$B$2, -Calculator!$F$17,-Calculator!$F$13))+P10</f>
        <v>563385</v>
      </c>
      <c r="X10" s="37">
        <f t="shared" si="12"/>
        <v>0</v>
      </c>
      <c r="Y10" s="37">
        <f>Y9*(1+Calculator!$H$6)</f>
        <v>32898.29448</v>
      </c>
      <c r="Z10" s="36">
        <f t="shared" si="8"/>
        <v>0</v>
      </c>
      <c r="AA10" s="37">
        <f t="shared" si="9"/>
        <v>0</v>
      </c>
      <c r="AB10" s="37">
        <f>AA10*Calculator!$H$5</f>
        <v>0</v>
      </c>
      <c r="AC10" s="37">
        <f t="shared" si="10"/>
        <v>0</v>
      </c>
      <c r="AD10" s="37">
        <f t="shared" si="11"/>
        <v>425730</v>
      </c>
      <c r="AE10" s="36"/>
      <c r="AF10" s="36"/>
      <c r="AG10" s="36"/>
      <c r="AH10" s="36"/>
      <c r="AI10" s="36"/>
      <c r="AJ10" s="36"/>
      <c r="AK10" s="36"/>
    </row>
    <row r="11">
      <c r="A11" s="30">
        <v>2029.0</v>
      </c>
      <c r="B11" s="30">
        <f>A11-Calculator!$H$8</f>
        <v>56</v>
      </c>
      <c r="C11" s="42" t="s">
        <v>80</v>
      </c>
      <c r="D11" s="32">
        <f>IF(D10=0,IF(B11&gt;=Calculator!$H$10,Calculator!$H$11,0)*Calculator!$H$17,D10*(1+Calculator!$H$6))</f>
        <v>0</v>
      </c>
      <c r="E11" s="33">
        <f>IF(B11&gt;=Calculator!$H$9,T10*Calculator!$H$14,0)</f>
        <v>0</v>
      </c>
      <c r="F11" s="33">
        <f>IF(B11&gt;=Calculator!$H$9,U10*Calculator!$H$14,0)</f>
        <v>0</v>
      </c>
      <c r="G11" s="33">
        <f>IF(B11&gt;=Calculator!$H$7,V10*Calculator!$H$14,0)</f>
        <v>49621.7</v>
      </c>
      <c r="H11" s="33">
        <f>IF(B11&gt;=Calculator!$H$7,IF(W10&lt;=0,0,W10*Calculator!$H$14),0)</f>
        <v>22535.4</v>
      </c>
      <c r="I11" s="32">
        <f>IF(I10=0,IF(B11&gt;=Calculator!$H$7,Calculator!$H$12,0),I10*(1+Calculator!$H$6))</f>
        <v>0</v>
      </c>
      <c r="J11" s="34">
        <f>(D11*0.85+E11+H11+I11)*(1-Calculator!$H$5)+D11*0.15+(G11)*(1-Calculator!$H$4)+F11</f>
        <v>62687.85</v>
      </c>
      <c r="K11" s="38">
        <f t="shared" si="1"/>
        <v>72157.1</v>
      </c>
      <c r="L11" s="38">
        <f t="shared" si="2"/>
        <v>64568.52525</v>
      </c>
      <c r="M11" s="38">
        <f>IF(B11=Calculator!$C$2,Calculator!$B$8,M10*(1+Calculator!$H$6))</f>
        <v>148482.048</v>
      </c>
      <c r="N11" s="41">
        <v>200000.0</v>
      </c>
      <c r="O11" s="34">
        <f t="shared" si="3"/>
        <v>348482.048</v>
      </c>
      <c r="P11" s="34">
        <f t="shared" si="4"/>
        <v>-283913.5227</v>
      </c>
      <c r="Q11" s="34">
        <f>IF(Calculator!$H$18="Y",Q10+IF(Q10&lt;0,Q10*Calculator!$H$2,Q10*Calculator!$H$3)+P11,0)</f>
        <v>0</v>
      </c>
      <c r="R11" s="35">
        <f t="shared" si="5"/>
        <v>4791222.752</v>
      </c>
      <c r="S11" s="37">
        <f t="shared" si="6"/>
        <v>4791222.752</v>
      </c>
      <c r="T11" s="35">
        <f>IF(B11&gt;=Calculator!$H$7,T10*(1+Calculator!$H$3)-E11,FV(Calculator!$H$1,B11+Calculator!$H$8-Calculator!$B$2, -Calculator!$C$17,-Calculator!$C$13))</f>
        <v>2903683.7</v>
      </c>
      <c r="U11" s="35">
        <f>IF(B11&gt;=Calculator!$H$7,U10*(1+Calculator!$H$3)-F11,FV(Calculator!$H$1,B11+Calculator!$H$8-Calculator!$B$2, -Calculator!$D$17,-Calculator!$D$13))</f>
        <v>277328.7</v>
      </c>
      <c r="V11" s="35">
        <f>IF(B11&gt;=Calculator!$H$7,V10*(1+Calculator!$H$3)-G11,FV(Calculator!$H$1,B11+Calculator!$H$8-Calculator!$B$2, -Calculator!$E$17,-Calculator!$E$13))</f>
        <v>1302569.625</v>
      </c>
      <c r="W11" s="35">
        <f>IF(B11&gt;=Calculator!$H$7,W10*(1+Calculator!$H$3)-H11,FV(Calculator!$H$1,B11+Calculator!$H$8-Calculator!$B$2, -Calculator!$F$17,-Calculator!$F$13))+P11</f>
        <v>307640.7273</v>
      </c>
      <c r="X11" s="37">
        <f t="shared" si="12"/>
        <v>72157.1</v>
      </c>
      <c r="Y11" s="37">
        <f>Y10*(1+Calculator!$H$6)</f>
        <v>34214.22626</v>
      </c>
      <c r="Z11" s="37">
        <f t="shared" si="8"/>
        <v>34214.22626</v>
      </c>
      <c r="AA11" s="37">
        <f t="shared" si="9"/>
        <v>37942.87374</v>
      </c>
      <c r="AB11" s="37">
        <f>AA11*Calculator!$H$5</f>
        <v>7588.574748</v>
      </c>
      <c r="AC11" s="37">
        <f t="shared" si="10"/>
        <v>7.134041677</v>
      </c>
      <c r="AD11" s="37">
        <f t="shared" si="11"/>
        <v>239753.7</v>
      </c>
      <c r="AE11" s="36"/>
      <c r="AF11" s="36"/>
      <c r="AG11" s="36"/>
      <c r="AH11" s="36"/>
      <c r="AI11" s="36"/>
      <c r="AJ11" s="36"/>
      <c r="AK11" s="36"/>
    </row>
    <row r="12">
      <c r="A12" s="30">
        <v>2030.0</v>
      </c>
      <c r="B12" s="30">
        <f>A12-Calculator!$H$8</f>
        <v>57</v>
      </c>
      <c r="C12" s="43" t="s">
        <v>81</v>
      </c>
      <c r="D12" s="32">
        <f>IF(D11=0,IF(B12&gt;=Calculator!$H$10,Calculator!$H$11,0)*Calculator!$H$17,D11*(1+Calculator!$H$6))</f>
        <v>0</v>
      </c>
      <c r="E12" s="33">
        <f>IF(B12&gt;=Calculator!$H$9,T11*Calculator!$H$14,0)</f>
        <v>0</v>
      </c>
      <c r="F12" s="33">
        <f>IF(B12&gt;=Calculator!$H$9,U11*Calculator!$H$14,0)</f>
        <v>0</v>
      </c>
      <c r="G12" s="33">
        <f>IF(B12&gt;=Calculator!$H$7,V11*Calculator!$H$14,0)</f>
        <v>52102.785</v>
      </c>
      <c r="H12" s="33">
        <f>IF(B12&gt;=Calculator!$H$7,IF(W11&lt;=0,0,W11*Calculator!$H$14),0)</f>
        <v>12305.62909</v>
      </c>
      <c r="I12" s="32">
        <f>IF(I11=0,IF(B12&gt;=Calculator!$H$7,Calculator!$H$12,0),I11*(1+Calculator!$H$6))</f>
        <v>0</v>
      </c>
      <c r="J12" s="34">
        <f>(D12*0.85+E12+H12+I12)*(1-Calculator!$H$5)+D12*0.15+(G12)*(1-Calculator!$H$4)+F12</f>
        <v>56737.00977</v>
      </c>
      <c r="K12" s="38">
        <f t="shared" si="1"/>
        <v>64408.41409</v>
      </c>
      <c r="L12" s="38">
        <f t="shared" si="2"/>
        <v>58643.29033</v>
      </c>
      <c r="M12" s="38">
        <f>IF(B12=Calculator!$C$2,Calculator!$B$8,M11*(1+Calculator!$H$6))</f>
        <v>154421.3299</v>
      </c>
      <c r="N12" s="41">
        <v>200000.0</v>
      </c>
      <c r="O12" s="34">
        <f t="shared" si="3"/>
        <v>354421.3299</v>
      </c>
      <c r="P12" s="34">
        <f t="shared" si="4"/>
        <v>-295778.0396</v>
      </c>
      <c r="Q12" s="34">
        <f>IF(Calculator!$H$18="Y",Q11+IF(Q11&lt;0,Q11*Calculator!$H$2,Q11*Calculator!$H$3)+P12,0)</f>
        <v>0</v>
      </c>
      <c r="R12" s="35">
        <f t="shared" si="5"/>
        <v>4862246.346</v>
      </c>
      <c r="S12" s="37">
        <f t="shared" si="6"/>
        <v>4862246.346</v>
      </c>
      <c r="T12" s="35">
        <f>IF(B12&gt;=Calculator!$H$7,T11*(1+Calculator!$H$3)-E12,FV(Calculator!$H$1,B12+Calculator!$H$8-Calculator!$B$2, -Calculator!$C$17,-Calculator!$C$13))</f>
        <v>3165015.233</v>
      </c>
      <c r="U12" s="35">
        <f>IF(B12&gt;=Calculator!$H$7,U11*(1+Calculator!$H$3)-F12,FV(Calculator!$H$1,B12+Calculator!$H$8-Calculator!$B$2, -Calculator!$D$17,-Calculator!$D$13))</f>
        <v>302288.283</v>
      </c>
      <c r="V12" s="35">
        <f>IF(B12&gt;=Calculator!$H$7,V11*(1+Calculator!$H$3)-G12,FV(Calculator!$H$1,B12+Calculator!$H$8-Calculator!$B$2, -Calculator!$E$17,-Calculator!$E$13))</f>
        <v>1367698.106</v>
      </c>
      <c r="W12" s="35">
        <f>IF(B12&gt;=Calculator!$H$7,W11*(1+Calculator!$H$3)-H12,FV(Calculator!$H$1,B12+Calculator!$H$8-Calculator!$B$2, -Calculator!$F$17,-Calculator!$F$13))+P12</f>
        <v>27244.72403</v>
      </c>
      <c r="X12" s="37">
        <f t="shared" si="12"/>
        <v>64408.41409</v>
      </c>
      <c r="Y12" s="37">
        <f>Y11*(1+Calculator!$H$6)</f>
        <v>35582.79531</v>
      </c>
      <c r="Z12" s="37">
        <f t="shared" si="8"/>
        <v>35582.79531</v>
      </c>
      <c r="AA12" s="37">
        <f t="shared" si="9"/>
        <v>28825.61878</v>
      </c>
      <c r="AB12" s="37">
        <f>AA12*Calculator!$H$5</f>
        <v>5765.123756</v>
      </c>
      <c r="AC12" s="37">
        <f t="shared" si="10"/>
        <v>5.765630589</v>
      </c>
      <c r="AD12" s="37">
        <f t="shared" si="11"/>
        <v>261331.533</v>
      </c>
      <c r="AE12" s="36"/>
      <c r="AF12" s="36"/>
      <c r="AG12" s="36"/>
      <c r="AH12" s="36"/>
      <c r="AI12" s="36"/>
      <c r="AJ12" s="36"/>
      <c r="AK12" s="36"/>
    </row>
    <row r="13">
      <c r="A13" s="30">
        <v>2031.0</v>
      </c>
      <c r="B13" s="30">
        <f>A13-Calculator!$H$8</f>
        <v>58</v>
      </c>
      <c r="C13" s="40" t="s">
        <v>82</v>
      </c>
      <c r="D13" s="32">
        <f>IF(D12=0,IF(B13&gt;=Calculator!$H$10,Calculator!$H$11,0)*Calculator!$H$17,D12*(1+Calculator!$H$6))</f>
        <v>0</v>
      </c>
      <c r="E13" s="33">
        <f>IF(B13&gt;=Calculator!$H$9,T12*Calculator!$H$14,0)</f>
        <v>0</v>
      </c>
      <c r="F13" s="33">
        <f>IF(B13&gt;=Calculator!$H$9,U12*Calculator!$H$14,0)</f>
        <v>0</v>
      </c>
      <c r="G13" s="33">
        <f>IF(B13&gt;=Calculator!$H$7,V12*Calculator!$H$14,0)</f>
        <v>54707.92425</v>
      </c>
      <c r="H13" s="33">
        <f>IF(B13&gt;=Calculator!$H$7,IF(W12&lt;=0,0,W12*Calculator!$H$14),0)</f>
        <v>1089.788961</v>
      </c>
      <c r="I13" s="32">
        <f>IF(I12=0,IF(B13&gt;=Calculator!$H$7,Calculator!$H$12,0),I12*(1+Calculator!$H$6))</f>
        <v>0</v>
      </c>
      <c r="J13" s="34">
        <f>(D13*0.85+E13+H13+I13)*(1-Calculator!$H$5)+D13*0.15+(G13)*(1-Calculator!$H$4)+F13</f>
        <v>50108.96299</v>
      </c>
      <c r="K13" s="38">
        <f t="shared" si="1"/>
        <v>55797.71321</v>
      </c>
      <c r="L13" s="38">
        <f t="shared" si="2"/>
        <v>52039.39199</v>
      </c>
      <c r="M13" s="38">
        <f>IF(B13=Calculator!$C$2,Calculator!$B$8,M12*(1+Calculator!$H$6))</f>
        <v>160598.1831</v>
      </c>
      <c r="N13" s="44">
        <v>50000.0</v>
      </c>
      <c r="O13" s="34">
        <f t="shared" si="3"/>
        <v>210598.1831</v>
      </c>
      <c r="P13" s="34">
        <f t="shared" si="4"/>
        <v>-158558.7911</v>
      </c>
      <c r="Q13" s="34">
        <f>IF(Calculator!$H$18="Y",Q12+IF(Q12&lt;0,Q12*Calculator!$H$2,Q12*Calculator!$H$3)+P13,0)</f>
        <v>0</v>
      </c>
      <c r="R13" s="35">
        <f t="shared" si="5"/>
        <v>5085492.013</v>
      </c>
      <c r="S13" s="37">
        <f t="shared" si="6"/>
        <v>5085492.013</v>
      </c>
      <c r="T13" s="35">
        <f>IF(B13&gt;=Calculator!$H$7,T12*(1+Calculator!$H$3)-E13,FV(Calculator!$H$1,B13+Calculator!$H$8-Calculator!$B$2, -Calculator!$C$17,-Calculator!$C$13))</f>
        <v>3449866.604</v>
      </c>
      <c r="U13" s="35">
        <f>IF(B13&gt;=Calculator!$H$7,U12*(1+Calculator!$H$3)-F13,FV(Calculator!$H$1,B13+Calculator!$H$8-Calculator!$B$2, -Calculator!$D$17,-Calculator!$D$13))</f>
        <v>329494.2285</v>
      </c>
      <c r="V13" s="35">
        <f>IF(B13&gt;=Calculator!$H$7,V12*(1+Calculator!$H$3)-G13,FV(Calculator!$H$1,B13+Calculator!$H$8-Calculator!$B$2, -Calculator!$E$17,-Calculator!$E$13))</f>
        <v>1436083.012</v>
      </c>
      <c r="W13" s="35">
        <f>IF(B13&gt;=Calculator!$H$7,W12*(1+Calculator!$H$3)-H13,FV(Calculator!$H$1,B13+Calculator!$H$8-Calculator!$B$2, -Calculator!$F$17,-Calculator!$F$13))+P13</f>
        <v>-129951.8309</v>
      </c>
      <c r="X13" s="37">
        <f t="shared" si="12"/>
        <v>55797.71321</v>
      </c>
      <c r="Y13" s="37">
        <f>Y12*(1+Calculator!$H$6)</f>
        <v>37006.10712</v>
      </c>
      <c r="Z13" s="37">
        <f t="shared" si="8"/>
        <v>37006.10712</v>
      </c>
      <c r="AA13" s="37">
        <f t="shared" si="9"/>
        <v>18791.60609</v>
      </c>
      <c r="AB13" s="37">
        <f>AA13*Calculator!$H$5</f>
        <v>3758.321218</v>
      </c>
      <c r="AC13" s="37">
        <f t="shared" si="10"/>
        <v>4.049748388</v>
      </c>
      <c r="AD13" s="37">
        <f t="shared" si="11"/>
        <v>284851.371</v>
      </c>
      <c r="AE13" s="36"/>
      <c r="AF13" s="36"/>
      <c r="AG13" s="36"/>
      <c r="AH13" s="36"/>
      <c r="AI13" s="36"/>
      <c r="AJ13" s="36"/>
      <c r="AK13" s="36"/>
    </row>
    <row r="14">
      <c r="A14" s="30">
        <v>2032.0</v>
      </c>
      <c r="B14" s="30">
        <f>A14-Calculator!$H$8</f>
        <v>59</v>
      </c>
      <c r="C14" s="36"/>
      <c r="D14" s="32">
        <f>IF(D13=0,IF(B14&gt;=Calculator!$H$10,Calculator!$H$11,0)*Calculator!$H$17,D13*(1+Calculator!$H$6))</f>
        <v>0</v>
      </c>
      <c r="E14" s="33">
        <f>IF(B14&gt;=Calculator!$H$9,T13*Calculator!$H$14,0)</f>
        <v>0</v>
      </c>
      <c r="F14" s="33">
        <f>IF(B14&gt;=Calculator!$H$9,U13*Calculator!$H$14,0)</f>
        <v>0</v>
      </c>
      <c r="G14" s="33">
        <f>IF(B14&gt;=Calculator!$H$7,V13*Calculator!$H$14,0)</f>
        <v>57443.32046</v>
      </c>
      <c r="H14" s="33">
        <f>IF(B14&gt;=Calculator!$H$7,IF(W13&lt;=0,0,W13*Calculator!$H$14),0)</f>
        <v>0</v>
      </c>
      <c r="I14" s="32">
        <f>IF(I13=0,IF(B14&gt;=Calculator!$H$7,Calculator!$H$12,0),I13*(1+Calculator!$H$6))</f>
        <v>0</v>
      </c>
      <c r="J14" s="34">
        <f>(D14*0.85+E14+H14+I14)*(1-Calculator!$H$5)+D14*0.15+(G14)*(1-Calculator!$H$4)+F14</f>
        <v>51698.98842</v>
      </c>
      <c r="K14" s="38">
        <f t="shared" si="1"/>
        <v>57443.32046</v>
      </c>
      <c r="L14" s="38">
        <f t="shared" si="2"/>
        <v>53651.92665</v>
      </c>
      <c r="M14" s="38">
        <f>IF(B14=Calculator!$C$2,Calculator!$B$8,M13*(1+Calculator!$H$6))</f>
        <v>167022.1104</v>
      </c>
      <c r="N14" s="44"/>
      <c r="O14" s="34">
        <f t="shared" si="3"/>
        <v>167022.1104</v>
      </c>
      <c r="P14" s="34">
        <f t="shared" si="4"/>
        <v>-113370.1838</v>
      </c>
      <c r="Q14" s="34">
        <f>IF(Calculator!$H$18="Y",Q13+IF(Q13&lt;0,Q13*Calculator!$H$2,Q13*Calculator!$H$3)+P14,0)</f>
        <v>0</v>
      </c>
      <c r="R14" s="35">
        <f t="shared" si="5"/>
        <v>5372372.79</v>
      </c>
      <c r="S14" s="37">
        <f t="shared" si="6"/>
        <v>5372372.79</v>
      </c>
      <c r="T14" s="35">
        <f>IF(B14&gt;=Calculator!$H$7,T13*(1+Calculator!$H$3)-E14,FV(Calculator!$H$1,B14+Calculator!$H$8-Calculator!$B$2, -Calculator!$C$17,-Calculator!$C$13))</f>
        <v>3760354.598</v>
      </c>
      <c r="U14" s="35">
        <f>IF(B14&gt;=Calculator!$H$7,U13*(1+Calculator!$H$3)-F14,FV(Calculator!$H$1,B14+Calculator!$H$8-Calculator!$B$2, -Calculator!$D$17,-Calculator!$D$13))</f>
        <v>359148.709</v>
      </c>
      <c r="V14" s="35">
        <f>IF(B14&gt;=Calculator!$H$7,V13*(1+Calculator!$H$3)-G14,FV(Calculator!$H$1,B14+Calculator!$H$8-Calculator!$B$2, -Calculator!$E$17,-Calculator!$E$13))</f>
        <v>1507887.162</v>
      </c>
      <c r="W14" s="35">
        <f>IF(B14&gt;=Calculator!$H$7,W13*(1+Calculator!$H$3)-H14,FV(Calculator!$H$1,B14+Calculator!$H$8-Calculator!$B$2, -Calculator!$F$17,-Calculator!$F$13))+P14</f>
        <v>-255017.6795</v>
      </c>
      <c r="X14" s="37">
        <f t="shared" si="12"/>
        <v>57443.32046</v>
      </c>
      <c r="Y14" s="37">
        <f>Y13*(1+Calculator!$H$6)</f>
        <v>38486.35141</v>
      </c>
      <c r="Z14" s="37">
        <f t="shared" si="8"/>
        <v>38486.35141</v>
      </c>
      <c r="AA14" s="37">
        <f t="shared" si="9"/>
        <v>18956.96905</v>
      </c>
      <c r="AB14" s="37">
        <f>AA14*Calculator!$H$5</f>
        <v>3791.393811</v>
      </c>
      <c r="AC14" s="37">
        <f t="shared" si="10"/>
        <v>3.952263921</v>
      </c>
      <c r="AD14" s="37">
        <f t="shared" si="11"/>
        <v>310487.9944</v>
      </c>
      <c r="AE14" s="36"/>
      <c r="AF14" s="36"/>
      <c r="AG14" s="36"/>
      <c r="AH14" s="36"/>
      <c r="AI14" s="36"/>
      <c r="AJ14" s="36"/>
      <c r="AK14" s="36"/>
    </row>
    <row r="15">
      <c r="A15" s="30">
        <v>2033.0</v>
      </c>
      <c r="B15" s="30">
        <f>A15-Calculator!$H$8</f>
        <v>60</v>
      </c>
      <c r="C15" s="42" t="s">
        <v>83</v>
      </c>
      <c r="D15" s="32">
        <f>IF(D14=0,IF(B15&gt;=Calculator!$H$10,Calculator!$H$11,0)*Calculator!$H$17,D14*(1+Calculator!$H$6))</f>
        <v>0</v>
      </c>
      <c r="E15" s="33">
        <f>IF(B15&gt;=Calculator!$H$9,T14*Calculator!$H$14,0)</f>
        <v>150414.1839</v>
      </c>
      <c r="F15" s="33">
        <f>IF(B15&gt;=Calculator!$H$9,U14*Calculator!$H$14,0)</f>
        <v>14365.94836</v>
      </c>
      <c r="G15" s="33">
        <f>IF(B15&gt;=Calculator!$H$7,V14*Calculator!$H$14,0)</f>
        <v>60315.48649</v>
      </c>
      <c r="H15" s="33">
        <f>IF(B15&gt;=Calculator!$H$7,IF(W14&lt;=0,0,W14*Calculator!$H$14),0)</f>
        <v>0</v>
      </c>
      <c r="I15" s="32">
        <f>IF(I14=0,IF(B15&gt;=Calculator!$H$7,Calculator!$H$12,0),I14*(1+Calculator!$H$6))</f>
        <v>0</v>
      </c>
      <c r="J15" s="34">
        <f>(D15*0.85+E15+H15+I15)*(1-Calculator!$H$5)+D15*0.15+(G15)*(1-Calculator!$H$4)+F15</f>
        <v>188981.2333</v>
      </c>
      <c r="K15" s="38">
        <f t="shared" si="1"/>
        <v>225095.6188</v>
      </c>
      <c r="L15" s="38">
        <f t="shared" si="2"/>
        <v>193828.0355</v>
      </c>
      <c r="M15" s="38">
        <f>IF(B15=Calculator!$C$2,Calculator!$B$8,M14*(1+Calculator!$H$6))</f>
        <v>173702.9949</v>
      </c>
      <c r="N15" s="41">
        <v>300000.0</v>
      </c>
      <c r="O15" s="34">
        <f t="shared" si="3"/>
        <v>473702.9949</v>
      </c>
      <c r="P15" s="34">
        <f t="shared" si="4"/>
        <v>-279874.9594</v>
      </c>
      <c r="Q15" s="34">
        <f>IF(Calculator!$H$18="Y",Q14+IF(Q14&lt;0,Q14*Calculator!$H$2,Q14*Calculator!$H$3)+P15,0)</f>
        <v>0</v>
      </c>
      <c r="R15" s="35">
        <f t="shared" si="5"/>
        <v>5350915.763</v>
      </c>
      <c r="S15" s="37">
        <f t="shared" si="6"/>
        <v>5350915.763</v>
      </c>
      <c r="T15" s="35">
        <f>IF(B15&gt;=Calculator!$H$7,T14*(1+Calculator!$H$3)-E15,FV(Calculator!$H$1,B15+Calculator!$H$8-Calculator!$B$2, -Calculator!$C$17,-Calculator!$C$13))</f>
        <v>3948372.328</v>
      </c>
      <c r="U15" s="35">
        <f>IF(B15&gt;=Calculator!$H$7,U14*(1+Calculator!$H$3)-F15,FV(Calculator!$H$1,B15+Calculator!$H$8-Calculator!$B$2, -Calculator!$D$17,-Calculator!$D$13))</f>
        <v>377106.1445</v>
      </c>
      <c r="V15" s="35">
        <f>IF(B15&gt;=Calculator!$H$7,V14*(1+Calculator!$H$3)-G15,FV(Calculator!$H$1,B15+Calculator!$H$8-Calculator!$B$2, -Calculator!$E$17,-Calculator!$E$13))</f>
        <v>1583281.52</v>
      </c>
      <c r="W15" s="35">
        <f>IF(B15&gt;=Calculator!$H$7,W14*(1+Calculator!$H$3)-H15,FV(Calculator!$H$1,B15+Calculator!$H$8-Calculator!$B$2, -Calculator!$F$17,-Calculator!$F$13))+P15</f>
        <v>-557844.23</v>
      </c>
      <c r="X15" s="37">
        <f t="shared" si="12"/>
        <v>210729.6704</v>
      </c>
      <c r="Y15" s="37">
        <f>Y14*(1+Calculator!$H$6)</f>
        <v>40025.80546</v>
      </c>
      <c r="Z15" s="37">
        <f t="shared" si="8"/>
        <v>54391.75383</v>
      </c>
      <c r="AA15" s="37">
        <f t="shared" si="9"/>
        <v>156337.9166</v>
      </c>
      <c r="AB15" s="37">
        <f>AA15*Calculator!$H$5</f>
        <v>31267.58332</v>
      </c>
      <c r="AC15" s="37">
        <f t="shared" si="10"/>
        <v>11.79368412</v>
      </c>
      <c r="AD15" s="37">
        <f t="shared" si="11"/>
        <v>188017.7299</v>
      </c>
      <c r="AE15" s="36"/>
      <c r="AF15" s="36"/>
      <c r="AG15" s="36"/>
      <c r="AH15" s="36"/>
      <c r="AI15" s="36"/>
      <c r="AJ15" s="36"/>
      <c r="AK15" s="36"/>
    </row>
    <row r="16">
      <c r="A16" s="30">
        <v>2034.0</v>
      </c>
      <c r="B16" s="30">
        <f>A16-Calculator!$H$8</f>
        <v>61</v>
      </c>
      <c r="C16" s="36"/>
      <c r="D16" s="32">
        <f>IF(D15=0,IF(B16&gt;=Calculator!$H$10,Calculator!$H$11,0)*Calculator!$H$17,D15*(1+Calculator!$H$6))</f>
        <v>0</v>
      </c>
      <c r="E16" s="33">
        <f>IF(B16&gt;=Calculator!$H$9,T15*Calculator!$H$14,0)</f>
        <v>157934.8931</v>
      </c>
      <c r="F16" s="33">
        <f>IF(B16&gt;=Calculator!$H$9,U15*Calculator!$H$14,0)</f>
        <v>15084.24578</v>
      </c>
      <c r="G16" s="33">
        <f>IF(B16&gt;=Calculator!$H$7,V15*Calculator!$H$14,0)</f>
        <v>63331.26081</v>
      </c>
      <c r="H16" s="33">
        <f>IF(B16&gt;=Calculator!$H$7,IF(W15&lt;=0,0,W15*Calculator!$H$14),0)</f>
        <v>0</v>
      </c>
      <c r="I16" s="32">
        <f>IF(I15=0,IF(B16&gt;=Calculator!$H$7,Calculator!$H$12,0),I15*(1+Calculator!$H$6))</f>
        <v>0</v>
      </c>
      <c r="J16" s="34">
        <f>(D16*0.85+E16+H16+I16)*(1-Calculator!$H$5)+D16*0.15+(G16)*(1-Calculator!$H$4)+F16</f>
        <v>198430.295</v>
      </c>
      <c r="K16" s="38">
        <f t="shared" si="1"/>
        <v>236350.3997</v>
      </c>
      <c r="L16" s="38">
        <f t="shared" si="2"/>
        <v>203439.3856</v>
      </c>
      <c r="M16" s="38">
        <f>IF(B16=Calculator!$C$2,Calculator!$B$8,M15*(1+Calculator!$H$6))</f>
        <v>180651.1147</v>
      </c>
      <c r="N16" s="44"/>
      <c r="O16" s="34">
        <f t="shared" si="3"/>
        <v>180651.1147</v>
      </c>
      <c r="P16" s="34">
        <f t="shared" si="4"/>
        <v>22788.27097</v>
      </c>
      <c r="Q16" s="34">
        <f>IF(Calculator!$H$18="Y",Q15+IF(Q15&lt;0,Q15*Calculator!$H$2,Q15*Calculator!$H$3)+P16,0)</f>
        <v>0</v>
      </c>
      <c r="R16" s="35">
        <f t="shared" si="5"/>
        <v>5618936.053</v>
      </c>
      <c r="S16" s="37">
        <f t="shared" si="6"/>
        <v>5618936.053</v>
      </c>
      <c r="T16" s="35">
        <f>IF(B16&gt;=Calculator!$H$7,T15*(1+Calculator!$H$3)-E16,FV(Calculator!$H$1,B16+Calculator!$H$8-Calculator!$B$2, -Calculator!$C$17,-Calculator!$C$13))</f>
        <v>4145790.945</v>
      </c>
      <c r="U16" s="35">
        <f>IF(B16&gt;=Calculator!$H$7,U15*(1+Calculator!$H$3)-F16,FV(Calculator!$H$1,B16+Calculator!$H$8-Calculator!$B$2, -Calculator!$D$17,-Calculator!$D$13))</f>
        <v>395961.4517</v>
      </c>
      <c r="V16" s="35">
        <f>IF(B16&gt;=Calculator!$H$7,V15*(1+Calculator!$H$3)-G16,FV(Calculator!$H$1,B16+Calculator!$H$8-Calculator!$B$2, -Calculator!$E$17,-Calculator!$E$13))</f>
        <v>1662445.596</v>
      </c>
      <c r="W16" s="35">
        <f>IF(B16&gt;=Calculator!$H$7,W15*(1+Calculator!$H$3)-H16,FV(Calculator!$H$1,B16+Calculator!$H$8-Calculator!$B$2, -Calculator!$F$17,-Calculator!$F$13))+P16</f>
        <v>-585261.9397</v>
      </c>
      <c r="X16" s="37">
        <f t="shared" si="12"/>
        <v>221266.1539</v>
      </c>
      <c r="Y16" s="37">
        <f>Y15*(1+Calculator!$H$6)</f>
        <v>41626.83768</v>
      </c>
      <c r="Z16" s="37">
        <f t="shared" si="8"/>
        <v>56711.08346</v>
      </c>
      <c r="AA16" s="37">
        <f t="shared" si="9"/>
        <v>164555.0705</v>
      </c>
      <c r="AB16" s="37">
        <f>AA16*Calculator!$H$5</f>
        <v>32911.0141</v>
      </c>
      <c r="AC16" s="37">
        <f t="shared" si="10"/>
        <v>11.83946369</v>
      </c>
      <c r="AD16" s="37">
        <f t="shared" si="11"/>
        <v>197418.6164</v>
      </c>
      <c r="AE16" s="36"/>
      <c r="AF16" s="36"/>
      <c r="AG16" s="36"/>
      <c r="AH16" s="36"/>
      <c r="AI16" s="36"/>
      <c r="AJ16" s="36"/>
      <c r="AK16" s="36"/>
    </row>
    <row r="17">
      <c r="A17" s="30">
        <v>2035.0</v>
      </c>
      <c r="B17" s="30">
        <f>A17-Calculator!$H$8</f>
        <v>62</v>
      </c>
      <c r="C17" s="45"/>
      <c r="D17" s="32">
        <f>IF(D16=0,IF(B17&gt;=Calculator!$H$10,Calculator!$H$11,0)*Calculator!$H$17,D16*(1+Calculator!$H$6))</f>
        <v>40000</v>
      </c>
      <c r="E17" s="33">
        <f>IF(B17&gt;=Calculator!$H$9,T16*Calculator!$H$14,0)</f>
        <v>165831.6378</v>
      </c>
      <c r="F17" s="33">
        <f>IF(B17&gt;=Calculator!$H$9,U16*Calculator!$H$14,0)</f>
        <v>15838.45807</v>
      </c>
      <c r="G17" s="33">
        <f>IF(B17&gt;=Calculator!$H$7,V16*Calculator!$H$14,0)</f>
        <v>66497.82385</v>
      </c>
      <c r="H17" s="33">
        <f>IF(B17&gt;=Calculator!$H$7,IF(W16&lt;=0,0,W16*Calculator!$H$14),0)</f>
        <v>0</v>
      </c>
      <c r="I17" s="32">
        <f>IF(I16=0,IF(B17&gt;=Calculator!$H$7,Calculator!$H$12,0),I16*(1+Calculator!$H$6))</f>
        <v>0</v>
      </c>
      <c r="J17" s="34">
        <f>(D17*0.85+E17+H17+I17)*(1-Calculator!$H$5)+D17*0.15+(G17)*(1-Calculator!$H$4)+F17</f>
        <v>241551.8098</v>
      </c>
      <c r="K17" s="38">
        <f t="shared" si="1"/>
        <v>288167.9197</v>
      </c>
      <c r="L17" s="38">
        <f t="shared" si="2"/>
        <v>246728.1012</v>
      </c>
      <c r="M17" s="38">
        <f>IF(B17=Calculator!$C$2,Calculator!$B$8,M16*(1+Calculator!$H$6))</f>
        <v>187877.1592</v>
      </c>
      <c r="N17" s="44"/>
      <c r="O17" s="34">
        <f t="shared" si="3"/>
        <v>187877.1592</v>
      </c>
      <c r="P17" s="34">
        <f t="shared" si="4"/>
        <v>58850.94199</v>
      </c>
      <c r="Q17" s="34">
        <f>IF(Calculator!$H$18="Y",Q16+IF(Q16&lt;0,Q16*Calculator!$H$2,Q16*Calculator!$H$3)+P17,0)</f>
        <v>0</v>
      </c>
      <c r="R17" s="35">
        <f t="shared" si="5"/>
        <v>5935323.32</v>
      </c>
      <c r="S17" s="37">
        <f t="shared" si="6"/>
        <v>5935323.32</v>
      </c>
      <c r="T17" s="35">
        <f>IF(B17&gt;=Calculator!$H$7,T16*(1+Calculator!$H$3)-E17,FV(Calculator!$H$1,B17+Calculator!$H$8-Calculator!$B$2, -Calculator!$C$17,-Calculator!$C$13))</f>
        <v>4353080.492</v>
      </c>
      <c r="U17" s="35">
        <f>IF(B17&gt;=Calculator!$H$7,U16*(1+Calculator!$H$3)-F17,FV(Calculator!$H$1,B17+Calculator!$H$8-Calculator!$B$2, -Calculator!$D$17,-Calculator!$D$13))</f>
        <v>415759.5243</v>
      </c>
      <c r="V17" s="35">
        <f>IF(B17&gt;=Calculator!$H$7,V16*(1+Calculator!$H$3)-G17,FV(Calculator!$H$1,B17+Calculator!$H$8-Calculator!$B$2, -Calculator!$E$17,-Calculator!$E$13))</f>
        <v>1745567.876</v>
      </c>
      <c r="W17" s="35">
        <f>IF(B17&gt;=Calculator!$H$7,W16*(1+Calculator!$H$3)-H17,FV(Calculator!$H$1,B17+Calculator!$H$8-Calculator!$B$2, -Calculator!$F$17,-Calculator!$F$13))+P17</f>
        <v>-579084.5723</v>
      </c>
      <c r="X17" s="37">
        <f t="shared" si="12"/>
        <v>272329.4616</v>
      </c>
      <c r="Y17" s="37">
        <f>Y16*(1+Calculator!$H$6)</f>
        <v>43291.91119</v>
      </c>
      <c r="Z17" s="37">
        <f t="shared" si="8"/>
        <v>65130.36926</v>
      </c>
      <c r="AA17" s="37">
        <f t="shared" si="9"/>
        <v>207199.0924</v>
      </c>
      <c r="AB17" s="37">
        <f>AA17*Calculator!$H$5</f>
        <v>41439.81848</v>
      </c>
      <c r="AC17" s="37">
        <f t="shared" si="10"/>
        <v>12.27992629</v>
      </c>
      <c r="AD17" s="37">
        <f t="shared" si="11"/>
        <v>207289.5472</v>
      </c>
      <c r="AE17" s="36"/>
      <c r="AF17" s="36"/>
      <c r="AG17" s="36"/>
      <c r="AH17" s="36"/>
      <c r="AI17" s="36"/>
      <c r="AJ17" s="36"/>
      <c r="AK17" s="36"/>
    </row>
    <row r="18">
      <c r="A18" s="30">
        <v>2036.0</v>
      </c>
      <c r="B18" s="30">
        <f>A18-Calculator!$H$8</f>
        <v>63</v>
      </c>
      <c r="C18" s="43" t="s">
        <v>84</v>
      </c>
      <c r="D18" s="32">
        <f>IF(D17=0,IF(B18&gt;=Calculator!$H$10,Calculator!$H$11,0)*Calculator!$H$17,D17*(1+Calculator!$H$6))</f>
        <v>41600</v>
      </c>
      <c r="E18" s="33">
        <f>IF(B18&gt;=Calculator!$H$9,T17*Calculator!$H$14,0)</f>
        <v>174123.2197</v>
      </c>
      <c r="F18" s="33">
        <f>IF(B18&gt;=Calculator!$H$9,U17*Calculator!$H$14,0)</f>
        <v>16630.38097</v>
      </c>
      <c r="G18" s="33">
        <f>IF(B18&gt;=Calculator!$H$7,V17*Calculator!$H$14,0)</f>
        <v>69822.71504</v>
      </c>
      <c r="H18" s="33">
        <f>IF(B18&gt;=Calculator!$H$7,IF(W17&lt;=0,0,W17*Calculator!$H$14),0)</f>
        <v>0</v>
      </c>
      <c r="I18" s="32">
        <f>IF(I17=0,IF(B18&gt;=Calculator!$H$7,Calculator!$H$12,0),I17*(1+Calculator!$H$6))</f>
        <v>0</v>
      </c>
      <c r="J18" s="34">
        <f>(D18*0.85+E18+H18+I18)*(1-Calculator!$H$5)+D18*0.15+(G18)*(1-Calculator!$H$4)+F18</f>
        <v>253297.4003</v>
      </c>
      <c r="K18" s="38">
        <f t="shared" si="1"/>
        <v>302176.3157</v>
      </c>
      <c r="L18" s="38">
        <f t="shared" si="2"/>
        <v>258645.9225</v>
      </c>
      <c r="M18" s="38">
        <f>IF(B18=Calculator!$C$2,Calculator!$B$8,M17*(1+Calculator!$H$6))</f>
        <v>195392.2456</v>
      </c>
      <c r="N18" s="41">
        <v>300000.0</v>
      </c>
      <c r="O18" s="34">
        <f t="shared" si="3"/>
        <v>495392.2456</v>
      </c>
      <c r="P18" s="34">
        <f t="shared" si="4"/>
        <v>-236746.3231</v>
      </c>
      <c r="Q18" s="34">
        <f>IF(Calculator!$H$18="Y",Q17+IF(Q17&lt;0,Q17*Calculator!$H$2,Q17*Calculator!$H$3)+P18,0)</f>
        <v>0</v>
      </c>
      <c r="R18" s="35">
        <f t="shared" si="5"/>
        <v>5972179.78</v>
      </c>
      <c r="S18" s="37">
        <f t="shared" si="6"/>
        <v>5972179.78</v>
      </c>
      <c r="T18" s="35">
        <f>IF(B18&gt;=Calculator!$H$7,T17*(1+Calculator!$H$3)-E18,FV(Calculator!$H$1,B18+Calculator!$H$8-Calculator!$B$2, -Calculator!$C$17,-Calculator!$C$13))</f>
        <v>4570734.516</v>
      </c>
      <c r="U18" s="35">
        <f>IF(B18&gt;=Calculator!$H$7,U17*(1+Calculator!$H$3)-F18,FV(Calculator!$H$1,B18+Calculator!$H$8-Calculator!$B$2, -Calculator!$D$17,-Calculator!$D$13))</f>
        <v>436547.5005</v>
      </c>
      <c r="V18" s="35">
        <f>IF(B18&gt;=Calculator!$H$7,V17*(1+Calculator!$H$3)-G18,FV(Calculator!$H$1,B18+Calculator!$H$8-Calculator!$B$2, -Calculator!$E$17,-Calculator!$E$13))</f>
        <v>1832846.27</v>
      </c>
      <c r="W18" s="35">
        <f>IF(B18&gt;=Calculator!$H$7,W17*(1+Calculator!$H$3)-H18,FV(Calculator!$H$1,B18+Calculator!$H$8-Calculator!$B$2, -Calculator!$F$17,-Calculator!$F$13))+P18</f>
        <v>-867948.507</v>
      </c>
      <c r="X18" s="37">
        <f t="shared" si="12"/>
        <v>285545.9347</v>
      </c>
      <c r="Y18" s="37">
        <f>Y17*(1+Calculator!$H$6)</f>
        <v>45023.58764</v>
      </c>
      <c r="Z18" s="37">
        <f t="shared" si="8"/>
        <v>67893.96861</v>
      </c>
      <c r="AA18" s="37">
        <f t="shared" si="9"/>
        <v>217651.9661</v>
      </c>
      <c r="AB18" s="37">
        <f>AA18*Calculator!$H$5</f>
        <v>43530.39322</v>
      </c>
      <c r="AC18" s="37">
        <f t="shared" si="10"/>
        <v>12.31620788</v>
      </c>
      <c r="AD18" s="37">
        <f t="shared" si="11"/>
        <v>217654.0246</v>
      </c>
      <c r="AE18" s="36"/>
      <c r="AF18" s="36"/>
      <c r="AG18" s="36"/>
      <c r="AH18" s="36"/>
      <c r="AI18" s="36"/>
      <c r="AJ18" s="36"/>
      <c r="AK18" s="36"/>
    </row>
    <row r="19">
      <c r="A19" s="30">
        <v>2037.0</v>
      </c>
      <c r="B19" s="30">
        <f>A19-Calculator!$H$8</f>
        <v>64</v>
      </c>
      <c r="C19" s="36"/>
      <c r="D19" s="32">
        <f>IF(D18=0,IF(B19&gt;=Calculator!$H$10,Calculator!$H$11,0)*Calculator!$H$17,D18*(1+Calculator!$H$6))</f>
        <v>43264</v>
      </c>
      <c r="E19" s="33">
        <f>IF(B19&gt;=Calculator!$H$9,T18*Calculator!$H$14,0)</f>
        <v>182829.3807</v>
      </c>
      <c r="F19" s="33">
        <f>IF(B19&gt;=Calculator!$H$9,U18*Calculator!$H$14,0)</f>
        <v>17461.90002</v>
      </c>
      <c r="G19" s="33">
        <f>IF(B19&gt;=Calculator!$H$7,V18*Calculator!$H$14,0)</f>
        <v>73313.8508</v>
      </c>
      <c r="H19" s="33">
        <f>IF(B19&gt;=Calculator!$H$7,IF(W18&lt;=0,0,W18*Calculator!$H$14),0)</f>
        <v>0</v>
      </c>
      <c r="I19" s="32">
        <f>IF(I18=0,IF(B19&gt;=Calculator!$H$7,Calculator!$H$12,0),I18*(1+Calculator!$H$6))</f>
        <v>0</v>
      </c>
      <c r="J19" s="34">
        <f>(D19*0.85+E19+H19+I19)*(1-Calculator!$H$5)+D19*0.15+(G19)*(1-Calculator!$H$4)+F19</f>
        <v>265616.9903</v>
      </c>
      <c r="K19" s="38">
        <f t="shared" si="1"/>
        <v>316869.1315</v>
      </c>
      <c r="L19" s="38">
        <f t="shared" si="2"/>
        <v>271142.8914</v>
      </c>
      <c r="M19" s="38">
        <f>IF(B19=Calculator!$C$2,Calculator!$B$8,M18*(1+Calculator!$H$6))</f>
        <v>203207.9354</v>
      </c>
      <c r="N19" s="14"/>
      <c r="O19" s="34">
        <f t="shared" si="3"/>
        <v>203207.9354</v>
      </c>
      <c r="P19" s="34">
        <f t="shared" si="4"/>
        <v>67934.95598</v>
      </c>
      <c r="Q19" s="34">
        <f>IF(Calculator!$H$18="Y",Q18+IF(Q18&lt;0,Q18*Calculator!$H$2,Q18*Calculator!$H$3)+P19,0)</f>
        <v>0</v>
      </c>
      <c r="R19" s="35">
        <f t="shared" si="5"/>
        <v>6304005.785</v>
      </c>
      <c r="S19" s="37">
        <f t="shared" si="6"/>
        <v>6304005.785</v>
      </c>
      <c r="T19" s="35">
        <f>IF(B19&gt;=Calculator!$H$7,T18*(1+Calculator!$H$3)-E19,FV(Calculator!$H$1,B19+Calculator!$H$8-Calculator!$B$2, -Calculator!$C$17,-Calculator!$C$13))</f>
        <v>4799271.242</v>
      </c>
      <c r="U19" s="35">
        <f>IF(B19&gt;=Calculator!$H$7,U18*(1+Calculator!$H$3)-F19,FV(Calculator!$H$1,B19+Calculator!$H$8-Calculator!$B$2, -Calculator!$D$17,-Calculator!$D$13))</f>
        <v>458374.8755</v>
      </c>
      <c r="V19" s="35">
        <f>IF(B19&gt;=Calculator!$H$7,V18*(1+Calculator!$H$3)-G19,FV(Calculator!$H$1,B19+Calculator!$H$8-Calculator!$B$2, -Calculator!$E$17,-Calculator!$E$13))</f>
        <v>1924488.583</v>
      </c>
      <c r="W19" s="35">
        <f>IF(B19&gt;=Calculator!$H$7,W18*(1+Calculator!$H$3)-H19,FV(Calculator!$H$1,B19+Calculator!$H$8-Calculator!$B$2, -Calculator!$F$17,-Calculator!$F$13))+P19</f>
        <v>-878128.9166</v>
      </c>
      <c r="X19" s="37">
        <f t="shared" si="12"/>
        <v>299407.2315</v>
      </c>
      <c r="Y19" s="37">
        <f>Y18*(1+Calculator!$H$6)</f>
        <v>46824.53114</v>
      </c>
      <c r="Z19" s="37">
        <f t="shared" si="8"/>
        <v>70776.03116</v>
      </c>
      <c r="AA19" s="37">
        <f t="shared" si="9"/>
        <v>228631.2003</v>
      </c>
      <c r="AB19" s="37">
        <f>AA19*Calculator!$H$5</f>
        <v>45726.24006</v>
      </c>
      <c r="AC19" s="37">
        <f t="shared" si="10"/>
        <v>12.3523251</v>
      </c>
      <c r="AD19" s="37">
        <f t="shared" si="11"/>
        <v>228536.7258</v>
      </c>
      <c r="AE19" s="36"/>
      <c r="AF19" s="36"/>
      <c r="AG19" s="36"/>
      <c r="AH19" s="36"/>
      <c r="AI19" s="36"/>
      <c r="AJ19" s="36"/>
      <c r="AK19" s="36"/>
    </row>
    <row r="20">
      <c r="A20" s="30">
        <v>2038.0</v>
      </c>
      <c r="B20" s="30">
        <f>A20-Calculator!$H$8</f>
        <v>65</v>
      </c>
      <c r="C20" s="31"/>
      <c r="D20" s="32">
        <f>IF(D19=0,IF(B20&gt;=Calculator!$H$10,Calculator!$H$11,0)*Calculator!$H$17,D19*(1+Calculator!$H$6))</f>
        <v>44994.56</v>
      </c>
      <c r="E20" s="33">
        <f>IF(B20&gt;=Calculator!$H$9,T19*Calculator!$H$14,0)</f>
        <v>191970.8497</v>
      </c>
      <c r="F20" s="33">
        <f>IF(B20&gt;=Calculator!$H$9,U19*Calculator!$H$14,0)</f>
        <v>18334.99502</v>
      </c>
      <c r="G20" s="33">
        <f>IF(B20&gt;=Calculator!$H$7,V19*Calculator!$H$14,0)</f>
        <v>76979.54333</v>
      </c>
      <c r="H20" s="33">
        <f>IF(B20&gt;=Calculator!$H$7,IF(W19&lt;=0,0,W19*Calculator!$H$14),0)</f>
        <v>0</v>
      </c>
      <c r="I20" s="32">
        <f>IF(I19=0,IF(B20&gt;=Calculator!$H$7,Calculator!$H$12,0),I19*(1+Calculator!$H$6))</f>
        <v>0</v>
      </c>
      <c r="J20" s="34">
        <f>(D20*0.85+E20+H20+I20)*(1-Calculator!$H$5)+D20*0.15+(G20)*(1-Calculator!$H$4)+F20</f>
        <v>278538.7486</v>
      </c>
      <c r="K20" s="38">
        <f t="shared" si="1"/>
        <v>332279.948</v>
      </c>
      <c r="L20" s="38">
        <f t="shared" si="2"/>
        <v>284247.2957</v>
      </c>
      <c r="M20" s="38">
        <f>IF(B20=Calculator!$C$2,Calculator!$B$8,M19*(1+Calculator!$H$6))</f>
        <v>211336.2529</v>
      </c>
      <c r="N20" s="14"/>
      <c r="O20" s="34">
        <f t="shared" si="3"/>
        <v>211336.2529</v>
      </c>
      <c r="P20" s="34">
        <f t="shared" si="4"/>
        <v>72911.04287</v>
      </c>
      <c r="Q20" s="34">
        <f>IF(Calculator!$H$18="Y",Q19+IF(Q19&lt;0,Q19*Calculator!$H$2,Q19*Calculator!$H$3)+P20,0)</f>
        <v>0</v>
      </c>
      <c r="R20" s="35">
        <f t="shared" si="5"/>
        <v>6656991.96</v>
      </c>
      <c r="S20" s="37">
        <f t="shared" si="6"/>
        <v>6656991.96</v>
      </c>
      <c r="T20" s="35">
        <f>IF(B20&gt;=Calculator!$H$7,T19*(1+Calculator!$H$3)-E20,FV(Calculator!$H$1,B20+Calculator!$H$8-Calculator!$B$2, -Calculator!$C$17,-Calculator!$C$13))</f>
        <v>5039234.804</v>
      </c>
      <c r="U20" s="35">
        <f>IF(B20&gt;=Calculator!$H$7,U19*(1+Calculator!$H$3)-F20,FV(Calculator!$H$1,B20+Calculator!$H$8-Calculator!$B$2, -Calculator!$D$17,-Calculator!$D$13))</f>
        <v>481293.6193</v>
      </c>
      <c r="V20" s="35">
        <f>IF(B20&gt;=Calculator!$H$7,V19*(1+Calculator!$H$3)-G20,FV(Calculator!$H$1,B20+Calculator!$H$8-Calculator!$B$2, -Calculator!$E$17,-Calculator!$E$13))</f>
        <v>2020713.013</v>
      </c>
      <c r="W20" s="35">
        <f>IF(B20&gt;=Calculator!$H$7,W19*(1+Calculator!$H$3)-H20,FV(Calculator!$H$1,B20+Calculator!$H$8-Calculator!$B$2, -Calculator!$F$17,-Calculator!$F$13))+P20</f>
        <v>-884249.4762</v>
      </c>
      <c r="X20" s="37">
        <f t="shared" si="12"/>
        <v>313944.953</v>
      </c>
      <c r="Y20" s="37">
        <f>Y19*(1+Calculator!$H$6)</f>
        <v>48697.51239</v>
      </c>
      <c r="Z20" s="37">
        <f t="shared" si="8"/>
        <v>73781.69141</v>
      </c>
      <c r="AA20" s="37">
        <f t="shared" si="9"/>
        <v>240163.2616</v>
      </c>
      <c r="AB20" s="37">
        <f>AA20*Calculator!$H$5</f>
        <v>48032.65232</v>
      </c>
      <c r="AC20" s="37">
        <f t="shared" si="10"/>
        <v>12.38827741</v>
      </c>
      <c r="AD20" s="37">
        <f t="shared" si="11"/>
        <v>239963.5621</v>
      </c>
      <c r="AE20" s="36"/>
      <c r="AF20" s="36"/>
      <c r="AG20" s="36"/>
      <c r="AH20" s="36"/>
      <c r="AI20" s="36"/>
      <c r="AJ20" s="36"/>
      <c r="AK20" s="36"/>
    </row>
    <row r="21">
      <c r="A21" s="30">
        <v>2039.0</v>
      </c>
      <c r="B21" s="30">
        <f>A21-Calculator!$H$8</f>
        <v>66</v>
      </c>
      <c r="C21" s="36"/>
      <c r="D21" s="32">
        <f>IF(D20=0,IF(B21&gt;=Calculator!$H$10,Calculator!$H$11,0)*Calculator!$H$17,D20*(1+Calculator!$H$6))</f>
        <v>46794.3424</v>
      </c>
      <c r="E21" s="33">
        <f>IF(B21&gt;=Calculator!$H$9,T20*Calculator!$H$14,0)</f>
        <v>201569.3922</v>
      </c>
      <c r="F21" s="33">
        <f>IF(B21&gt;=Calculator!$H$9,U20*Calculator!$H$14,0)</f>
        <v>19251.74477</v>
      </c>
      <c r="G21" s="33">
        <f>IF(B21&gt;=Calculator!$H$7,V20*Calculator!$H$14,0)</f>
        <v>80828.5205</v>
      </c>
      <c r="H21" s="33">
        <f>IF(B21&gt;=Calculator!$H$7,IF(W20&lt;=0,0,W20*Calculator!$H$14),0)</f>
        <v>0</v>
      </c>
      <c r="I21" s="32">
        <f>IF(I20=0,IF(B21&gt;=Calculator!$H$7,Calculator!$H$12,0),I20*(1+Calculator!$H$6))</f>
        <v>0</v>
      </c>
      <c r="J21" s="34">
        <f>(D21*0.85+E21+H21+I21)*(1-Calculator!$H$5)+D21*0.15+(G21)*(1-Calculator!$H$4)+F21</f>
        <v>292092.2312</v>
      </c>
      <c r="K21" s="38">
        <f t="shared" si="1"/>
        <v>348443.9999</v>
      </c>
      <c r="L21" s="38">
        <f t="shared" si="2"/>
        <v>297988.8106</v>
      </c>
      <c r="M21" s="38">
        <f>IF(B21=Calculator!$C$2,Calculator!$B$8,M20*(1+Calculator!$H$6))</f>
        <v>219789.703</v>
      </c>
      <c r="N21" s="14"/>
      <c r="O21" s="34">
        <f t="shared" si="3"/>
        <v>219789.703</v>
      </c>
      <c r="P21" s="34">
        <f t="shared" si="4"/>
        <v>78199.10767</v>
      </c>
      <c r="Q21" s="34">
        <f>IF(Calculator!$H$18="Y",Q20+IF(Q20&lt;0,Q20*Calculator!$H$2,Q20*Calculator!$H$3)+P21,0)</f>
        <v>0</v>
      </c>
      <c r="R21" s="35">
        <f t="shared" si="5"/>
        <v>7032670.687</v>
      </c>
      <c r="S21" s="37">
        <f t="shared" si="6"/>
        <v>7032670.687</v>
      </c>
      <c r="T21" s="35">
        <f>IF(B21&gt;=Calculator!$H$7,T20*(1+Calculator!$H$3)-E21,FV(Calculator!$H$1,B21+Calculator!$H$8-Calculator!$B$2, -Calculator!$C$17,-Calculator!$C$13))</f>
        <v>5291196.545</v>
      </c>
      <c r="U21" s="35">
        <f>IF(B21&gt;=Calculator!$H$7,U20*(1+Calculator!$H$3)-F21,FV(Calculator!$H$1,B21+Calculator!$H$8-Calculator!$B$2, -Calculator!$D$17,-Calculator!$D$13))</f>
        <v>505358.3003</v>
      </c>
      <c r="V21" s="35">
        <f>IF(B21&gt;=Calculator!$H$7,V20*(1+Calculator!$H$3)-G21,FV(Calculator!$H$1,B21+Calculator!$H$8-Calculator!$B$2, -Calculator!$E$17,-Calculator!$E$13))</f>
        <v>2121748.663</v>
      </c>
      <c r="W21" s="35">
        <f>IF(B21&gt;=Calculator!$H$7,W20*(1+Calculator!$H$3)-H21,FV(Calculator!$H$1,B21+Calculator!$H$8-Calculator!$B$2, -Calculator!$F$17,-Calculator!$F$13))+P21</f>
        <v>-885632.8214</v>
      </c>
      <c r="X21" s="37">
        <f t="shared" si="12"/>
        <v>329192.2551</v>
      </c>
      <c r="Y21" s="37">
        <f>Y20*(1+Calculator!$H$6)</f>
        <v>50645.41288</v>
      </c>
      <c r="Z21" s="37">
        <f t="shared" si="8"/>
        <v>76916.30902</v>
      </c>
      <c r="AA21" s="37">
        <f t="shared" si="9"/>
        <v>252275.9461</v>
      </c>
      <c r="AB21" s="37">
        <f>AA21*Calculator!$H$5</f>
        <v>50455.18921</v>
      </c>
      <c r="AC21" s="37">
        <f t="shared" si="10"/>
        <v>12.42406432</v>
      </c>
      <c r="AD21" s="37">
        <f t="shared" si="11"/>
        <v>251961.7402</v>
      </c>
      <c r="AE21" s="36"/>
      <c r="AF21" s="36"/>
      <c r="AG21" s="36"/>
      <c r="AH21" s="36"/>
      <c r="AI21" s="36"/>
      <c r="AJ21" s="36"/>
      <c r="AK21" s="36"/>
    </row>
    <row r="22">
      <c r="A22" s="30">
        <v>2040.0</v>
      </c>
      <c r="B22" s="30">
        <f>A22-Calculator!$H$8</f>
        <v>67</v>
      </c>
      <c r="C22" s="36"/>
      <c r="D22" s="32">
        <f>IF(D21=0,IF(B22&gt;=Calculator!$H$10,Calculator!$H$11,0)*Calculator!$H$17,D21*(1+Calculator!$H$6))</f>
        <v>48666.1161</v>
      </c>
      <c r="E22" s="33">
        <f>IF(B22&gt;=Calculator!$H$9,T21*Calculator!$H$14,0)</f>
        <v>211647.8618</v>
      </c>
      <c r="F22" s="33">
        <f>IF(B22&gt;=Calculator!$H$9,U21*Calculator!$H$14,0)</f>
        <v>20214.33201</v>
      </c>
      <c r="G22" s="33">
        <f>IF(B22&gt;=Calculator!$H$7,V21*Calculator!$H$14,0)</f>
        <v>84869.94653</v>
      </c>
      <c r="H22" s="33">
        <f>IF(B22&gt;=Calculator!$H$7,IF(W21&lt;=0,0,W21*Calculator!$H$14),0)</f>
        <v>0</v>
      </c>
      <c r="I22" s="32">
        <f>IF(I21=0,IF(B22&gt;=Calculator!$H$7,Calculator!$H$12,0),I21*(1+Calculator!$H$6))</f>
        <v>0</v>
      </c>
      <c r="J22" s="34">
        <f>(D22*0.85+E22+H22+I22)*(1-Calculator!$H$5)+D22*0.15+(G22)*(1-Calculator!$H$4)+F22</f>
        <v>306308.4497</v>
      </c>
      <c r="K22" s="38">
        <f t="shared" si="1"/>
        <v>365398.2564</v>
      </c>
      <c r="L22" s="38">
        <f t="shared" si="2"/>
        <v>312398.5673</v>
      </c>
      <c r="M22" s="38">
        <f>IF(B22=Calculator!$C$2,Calculator!$B$8,M21*(1+Calculator!$H$6))</f>
        <v>228581.2911</v>
      </c>
      <c r="N22" s="14"/>
      <c r="O22" s="34">
        <f t="shared" si="3"/>
        <v>228581.2911</v>
      </c>
      <c r="P22" s="34">
        <f t="shared" si="4"/>
        <v>83817.27622</v>
      </c>
      <c r="Q22" s="34">
        <f>IF(Calculator!$H$18="Y",Q21+IF(Q21&lt;0,Q21*Calculator!$H$2,Q21*Calculator!$H$3)+P22,0)</f>
        <v>0</v>
      </c>
      <c r="R22" s="35">
        <f t="shared" si="5"/>
        <v>7432696.184</v>
      </c>
      <c r="S22" s="37">
        <f t="shared" si="6"/>
        <v>7432696.184</v>
      </c>
      <c r="T22" s="35">
        <f>IF(B22&gt;=Calculator!$H$7,T21*(1+Calculator!$H$3)-E22,FV(Calculator!$H$1,B22+Calculator!$H$8-Calculator!$B$2, -Calculator!$C$17,-Calculator!$C$13))</f>
        <v>5555756.372</v>
      </c>
      <c r="U22" s="35">
        <f>IF(B22&gt;=Calculator!$H$7,U21*(1+Calculator!$H$3)-F22,FV(Calculator!$H$1,B22+Calculator!$H$8-Calculator!$B$2, -Calculator!$D$17,-Calculator!$D$13))</f>
        <v>530626.2153</v>
      </c>
      <c r="V22" s="35">
        <f>IF(B22&gt;=Calculator!$H$7,V21*(1+Calculator!$H$3)-G22,FV(Calculator!$H$1,B22+Calculator!$H$8-Calculator!$B$2, -Calculator!$E$17,-Calculator!$E$13))</f>
        <v>2227836.096</v>
      </c>
      <c r="W22" s="35">
        <f>IF(B22&gt;=Calculator!$H$7,W21*(1+Calculator!$H$3)-H22,FV(Calculator!$H$1,B22+Calculator!$H$8-Calculator!$B$2, -Calculator!$F$17,-Calculator!$F$13))+P22</f>
        <v>-881522.4991</v>
      </c>
      <c r="X22" s="37">
        <f t="shared" si="12"/>
        <v>345183.9244</v>
      </c>
      <c r="Y22" s="37">
        <f>Y21*(1+Calculator!$H$6)</f>
        <v>52671.2294</v>
      </c>
      <c r="Z22" s="37">
        <f t="shared" si="8"/>
        <v>80185.47883</v>
      </c>
      <c r="AA22" s="37">
        <f t="shared" si="9"/>
        <v>264998.4456</v>
      </c>
      <c r="AB22" s="37">
        <f>AA22*Calculator!$H$5</f>
        <v>52999.68912</v>
      </c>
      <c r="AC22" s="37">
        <f t="shared" si="10"/>
        <v>12.45968533</v>
      </c>
      <c r="AD22" s="37">
        <f t="shared" si="11"/>
        <v>264559.8272</v>
      </c>
      <c r="AE22" s="36"/>
      <c r="AF22" s="36"/>
      <c r="AG22" s="36"/>
      <c r="AH22" s="36"/>
      <c r="AI22" s="36"/>
      <c r="AJ22" s="36"/>
      <c r="AK22" s="36"/>
    </row>
    <row r="23">
      <c r="A23" s="30">
        <v>2041.0</v>
      </c>
      <c r="B23" s="30">
        <f>A23-Calculator!$H$8</f>
        <v>68</v>
      </c>
      <c r="C23" s="36"/>
      <c r="D23" s="32">
        <f>IF(D22=0,IF(B23&gt;=Calculator!$H$10,Calculator!$H$11,0)*Calculator!$H$17,D22*(1+Calculator!$H$6))</f>
        <v>50612.76074</v>
      </c>
      <c r="E23" s="33">
        <f>IF(B23&gt;=Calculator!$H$9,T22*Calculator!$H$14,0)</f>
        <v>222230.2549</v>
      </c>
      <c r="F23" s="33">
        <f>IF(B23&gt;=Calculator!$H$9,U22*Calculator!$H$14,0)</f>
        <v>21225.04861</v>
      </c>
      <c r="G23" s="33">
        <f>IF(B23&gt;=Calculator!$H$7,V22*Calculator!$H$14,0)</f>
        <v>89113.44385</v>
      </c>
      <c r="H23" s="33">
        <f>IF(B23&gt;=Calculator!$H$7,IF(W22&lt;=0,0,W22*Calculator!$H$14),0)</f>
        <v>0</v>
      </c>
      <c r="I23" s="32">
        <f>IF(I22=0,IF(B23&gt;=Calculator!$H$7,Calculator!$H$12,0),I22*(1+Calculator!$H$6))</f>
        <v>0</v>
      </c>
      <c r="J23" s="34">
        <f>(D23*0.85+E23+H23+I23)*(1-Calculator!$H$5)+D23*0.15+(G23)*(1-Calculator!$H$4)+F23</f>
        <v>321219.9434</v>
      </c>
      <c r="K23" s="38">
        <f t="shared" si="1"/>
        <v>383181.5081</v>
      </c>
      <c r="L23" s="38">
        <f t="shared" si="2"/>
        <v>327509.2244</v>
      </c>
      <c r="M23" s="38">
        <f>IF(B23=Calculator!$C$2,Calculator!$B$8,M22*(1+Calculator!$H$6))</f>
        <v>237724.5427</v>
      </c>
      <c r="N23" s="14"/>
      <c r="O23" s="34">
        <f t="shared" si="3"/>
        <v>237724.5427</v>
      </c>
      <c r="P23" s="34">
        <f t="shared" si="4"/>
        <v>89784.68172</v>
      </c>
      <c r="Q23" s="34">
        <f>IF(Calculator!$H$18="Y",Q22+IF(Q22&lt;0,Q22*Calculator!$H$2,Q22*Calculator!$H$3)+P23,0)</f>
        <v>0</v>
      </c>
      <c r="R23" s="35">
        <f t="shared" si="5"/>
        <v>7858854.775</v>
      </c>
      <c r="S23" s="37">
        <f t="shared" si="6"/>
        <v>7858854.775</v>
      </c>
      <c r="T23" s="35">
        <f>IF(B23&gt;=Calculator!$H$7,T22*(1+Calculator!$H$3)-E23,FV(Calculator!$H$1,B23+Calculator!$H$8-Calculator!$B$2, -Calculator!$C$17,-Calculator!$C$13))</f>
        <v>5833544.19</v>
      </c>
      <c r="U23" s="35">
        <f>IF(B23&gt;=Calculator!$H$7,U22*(1+Calculator!$H$3)-F23,FV(Calculator!$H$1,B23+Calculator!$H$8-Calculator!$B$2, -Calculator!$D$17,-Calculator!$D$13))</f>
        <v>557157.5261</v>
      </c>
      <c r="V23" s="35">
        <f>IF(B23&gt;=Calculator!$H$7,V22*(1+Calculator!$H$3)-G23,FV(Calculator!$H$1,B23+Calculator!$H$8-Calculator!$B$2, -Calculator!$E$17,-Calculator!$E$13))</f>
        <v>2339227.901</v>
      </c>
      <c r="W23" s="35">
        <f>IF(B23&gt;=Calculator!$H$7,W22*(1+Calculator!$H$3)-H23,FV(Calculator!$H$1,B23+Calculator!$H$8-Calculator!$B$2, -Calculator!$F$17,-Calculator!$F$13))+P23</f>
        <v>-871074.8424</v>
      </c>
      <c r="X23" s="37">
        <f t="shared" si="12"/>
        <v>361956.4595</v>
      </c>
      <c r="Y23" s="37">
        <f>Y22*(1+Calculator!$H$6)</f>
        <v>54778.07858</v>
      </c>
      <c r="Z23" s="37">
        <f t="shared" si="8"/>
        <v>83595.0413</v>
      </c>
      <c r="AA23" s="37">
        <f t="shared" si="9"/>
        <v>278361.4182</v>
      </c>
      <c r="AB23" s="37">
        <f>AA23*Calculator!$H$5</f>
        <v>55672.28363</v>
      </c>
      <c r="AC23" s="37">
        <f t="shared" si="10"/>
        <v>12.49513996</v>
      </c>
      <c r="AD23" s="37">
        <f t="shared" si="11"/>
        <v>277787.8186</v>
      </c>
      <c r="AE23" s="36"/>
      <c r="AF23" s="36"/>
      <c r="AG23" s="36"/>
      <c r="AH23" s="36"/>
      <c r="AI23" s="36"/>
      <c r="AJ23" s="36"/>
      <c r="AK23" s="36"/>
    </row>
    <row r="24">
      <c r="A24" s="30">
        <v>2042.0</v>
      </c>
      <c r="B24" s="30">
        <f>A24-Calculator!$H$8</f>
        <v>69</v>
      </c>
      <c r="C24" s="36"/>
      <c r="D24" s="32">
        <f>IF(D23=0,IF(B24&gt;=Calculator!$H$10,Calculator!$H$11,0)*Calculator!$H$17,D23*(1+Calculator!$H$6))</f>
        <v>52637.27117</v>
      </c>
      <c r="E24" s="33">
        <f>IF(B24&gt;=Calculator!$H$9,T23*Calculator!$H$14,0)</f>
        <v>233341.7676</v>
      </c>
      <c r="F24" s="33">
        <f>IF(B24&gt;=Calculator!$H$9,U23*Calculator!$H$14,0)</f>
        <v>22286.30104</v>
      </c>
      <c r="G24" s="33">
        <f>IF(B24&gt;=Calculator!$H$7,V23*Calculator!$H$14,0)</f>
        <v>93569.11605</v>
      </c>
      <c r="H24" s="33">
        <f>IF(B24&gt;=Calculator!$H$7,IF(W23&lt;=0,0,W23*Calculator!$H$14),0)</f>
        <v>0</v>
      </c>
      <c r="I24" s="32">
        <f>IF(I23=0,IF(B24&gt;=Calculator!$H$7,Calculator!$H$12,0),I23*(1+Calculator!$H$6))</f>
        <v>0</v>
      </c>
      <c r="J24" s="34">
        <f>(D24*0.85+E24+H24+I24)*(1-Calculator!$H$5)+D24*0.15+(G24)*(1-Calculator!$H$4)+F24</f>
        <v>336860.8546</v>
      </c>
      <c r="K24" s="38">
        <f t="shared" si="1"/>
        <v>401834.4559</v>
      </c>
      <c r="L24" s="38">
        <f t="shared" si="2"/>
        <v>343355.0436</v>
      </c>
      <c r="M24" s="38">
        <f>IF(B24=Calculator!$C$2,Calculator!$B$8,M23*(1+Calculator!$H$6))</f>
        <v>247233.5244</v>
      </c>
      <c r="N24" s="14"/>
      <c r="O24" s="34">
        <f t="shared" si="3"/>
        <v>247233.5244</v>
      </c>
      <c r="P24" s="34">
        <f t="shared" si="4"/>
        <v>96121.51916</v>
      </c>
      <c r="Q24" s="34">
        <f>IF(Calculator!$H$18="Y",Q23+IF(Q23&lt;0,Q23*Calculator!$H$2,Q23*Calculator!$H$3)+P24,0)</f>
        <v>0</v>
      </c>
      <c r="R24" s="35">
        <f t="shared" si="5"/>
        <v>8313076.04</v>
      </c>
      <c r="S24" s="37">
        <f t="shared" si="6"/>
        <v>8313076.04</v>
      </c>
      <c r="T24" s="35">
        <f>IF(B24&gt;=Calculator!$H$7,T23*(1+Calculator!$H$3)-E24,FV(Calculator!$H$1,B24+Calculator!$H$8-Calculator!$B$2, -Calculator!$C$17,-Calculator!$C$13))</f>
        <v>6125221.4</v>
      </c>
      <c r="U24" s="35">
        <f>IF(B24&gt;=Calculator!$H$7,U23*(1+Calculator!$H$3)-F24,FV(Calculator!$H$1,B24+Calculator!$H$8-Calculator!$B$2, -Calculator!$D$17,-Calculator!$D$13))</f>
        <v>585015.4024</v>
      </c>
      <c r="V24" s="35">
        <f>IF(B24&gt;=Calculator!$H$7,V23*(1+Calculator!$H$3)-G24,FV(Calculator!$H$1,B24+Calculator!$H$8-Calculator!$B$2, -Calculator!$E$17,-Calculator!$E$13))</f>
        <v>2456189.296</v>
      </c>
      <c r="W24" s="35">
        <f>IF(B24&gt;=Calculator!$H$7,W23*(1+Calculator!$H$3)-H24,FV(Calculator!$H$1,B24+Calculator!$H$8-Calculator!$B$2, -Calculator!$F$17,-Calculator!$F$13))+P24</f>
        <v>-853350.059</v>
      </c>
      <c r="X24" s="37">
        <f t="shared" si="12"/>
        <v>379548.1548</v>
      </c>
      <c r="Y24" s="37">
        <f>Y23*(1+Calculator!$H$6)</f>
        <v>56969.20172</v>
      </c>
      <c r="Z24" s="37">
        <f t="shared" si="8"/>
        <v>87151.09344</v>
      </c>
      <c r="AA24" s="37">
        <f t="shared" si="9"/>
        <v>292397.0614</v>
      </c>
      <c r="AB24" s="37">
        <f>AA24*Calculator!$H$5</f>
        <v>58479.41228</v>
      </c>
      <c r="AC24" s="37">
        <f t="shared" si="10"/>
        <v>12.53042779</v>
      </c>
      <c r="AD24" s="37">
        <f t="shared" si="11"/>
        <v>291677.2095</v>
      </c>
      <c r="AE24" s="36"/>
      <c r="AF24" s="36"/>
      <c r="AG24" s="36"/>
      <c r="AH24" s="36"/>
      <c r="AI24" s="36"/>
      <c r="AJ24" s="36"/>
      <c r="AK24" s="36"/>
    </row>
    <row r="25">
      <c r="A25" s="30">
        <v>2043.0</v>
      </c>
      <c r="B25" s="30">
        <f>A25-Calculator!$H$8</f>
        <v>70</v>
      </c>
      <c r="C25" s="36"/>
      <c r="D25" s="32">
        <f>IF(D24=0,IF(B25&gt;=Calculator!$H$10,Calculator!$H$11,0)*Calculator!$H$17,D24*(1+Calculator!$H$6))</f>
        <v>54742.76202</v>
      </c>
      <c r="E25" s="33">
        <f>IF(B25&gt;=Calculator!$H$9,T24*Calculator!$H$14,0)</f>
        <v>245008.856</v>
      </c>
      <c r="F25" s="33">
        <f>IF(B25&gt;=Calculator!$H$9,U24*Calculator!$H$14,0)</f>
        <v>23400.61609</v>
      </c>
      <c r="G25" s="33">
        <f>IF(B25&gt;=Calculator!$H$7,V24*Calculator!$H$14,0)</f>
        <v>98247.57185</v>
      </c>
      <c r="H25" s="33">
        <f>IF(B25&gt;=Calculator!$H$7,IF(W24&lt;=0,0,W24*Calculator!$H$14),0)</f>
        <v>0</v>
      </c>
      <c r="I25" s="32">
        <f>IF(I24=0,IF(B25&gt;=Calculator!$H$7,Calculator!$H$12,0),I24*(1+Calculator!$H$6))</f>
        <v>0</v>
      </c>
      <c r="J25" s="34">
        <f>(D25*0.85+E25+H25+I25)*(1-Calculator!$H$5)+D25*0.15+(G25)*(1-Calculator!$H$4)+F25</f>
        <v>353267.008</v>
      </c>
      <c r="K25" s="38">
        <f t="shared" si="1"/>
        <v>421399.806</v>
      </c>
      <c r="L25" s="38">
        <f t="shared" si="2"/>
        <v>359971.968</v>
      </c>
      <c r="M25" s="38">
        <f>IF(B25=Calculator!$C$2,Calculator!$B$8,M24*(1+Calculator!$H$6))</f>
        <v>257122.8654</v>
      </c>
      <c r="N25" s="14"/>
      <c r="O25" s="34">
        <f t="shared" si="3"/>
        <v>257122.8654</v>
      </c>
      <c r="P25" s="34">
        <f t="shared" si="4"/>
        <v>102849.1026</v>
      </c>
      <c r="Q25" s="34">
        <f>IF(Calculator!$H$18="Y",Q24+IF(Q24&lt;0,Q24*Calculator!$H$2,Q24*Calculator!$H$3)+P25,0)</f>
        <v>0</v>
      </c>
      <c r="R25" s="35">
        <f t="shared" si="5"/>
        <v>8797444.942</v>
      </c>
      <c r="S25" s="37">
        <f t="shared" si="6"/>
        <v>8797444.942</v>
      </c>
      <c r="T25" s="35">
        <f>IF(B25&gt;=Calculator!$H$7,T24*(1+Calculator!$H$3)-E25,FV(Calculator!$H$1,B25+Calculator!$H$8-Calculator!$B$2, -Calculator!$C$17,-Calculator!$C$13))</f>
        <v>6431482.47</v>
      </c>
      <c r="U25" s="35">
        <f>IF(B25&gt;=Calculator!$H$7,U24*(1+Calculator!$H$3)-F25,FV(Calculator!$H$1,B25+Calculator!$H$8-Calculator!$B$2, -Calculator!$D$17,-Calculator!$D$13))</f>
        <v>614266.1725</v>
      </c>
      <c r="V25" s="35">
        <f>IF(B25&gt;=Calculator!$H$7,V24*(1+Calculator!$H$3)-G25,FV(Calculator!$H$1,B25+Calculator!$H$8-Calculator!$B$2, -Calculator!$E$17,-Calculator!$E$13))</f>
        <v>2578998.761</v>
      </c>
      <c r="W25" s="35">
        <f>IF(B25&gt;=Calculator!$H$7,W24*(1+Calculator!$H$3)-H25,FV(Calculator!$H$1,B25+Calculator!$H$8-Calculator!$B$2, -Calculator!$F$17,-Calculator!$F$13))+P25</f>
        <v>-827302.4617</v>
      </c>
      <c r="X25" s="37">
        <f t="shared" si="12"/>
        <v>397999.1899</v>
      </c>
      <c r="Y25" s="37">
        <f>Y24*(1+Calculator!$H$6)</f>
        <v>59247.96979</v>
      </c>
      <c r="Z25" s="37">
        <f t="shared" si="8"/>
        <v>90860.00018</v>
      </c>
      <c r="AA25" s="37">
        <f t="shared" si="9"/>
        <v>307139.1897</v>
      </c>
      <c r="AB25" s="37">
        <f>AA25*Calculator!$H$5</f>
        <v>61427.83794</v>
      </c>
      <c r="AC25" s="37">
        <f t="shared" si="10"/>
        <v>12.56554836</v>
      </c>
      <c r="AD25" s="37">
        <f t="shared" ref="AD25:AD88" si="13">W25-W24</f>
        <v>26047.5973</v>
      </c>
      <c r="AE25" s="36"/>
      <c r="AF25" s="36"/>
      <c r="AG25" s="36"/>
      <c r="AH25" s="36"/>
      <c r="AI25" s="36"/>
      <c r="AJ25" s="36"/>
      <c r="AK25" s="36"/>
    </row>
    <row r="26">
      <c r="A26" s="30">
        <v>2044.0</v>
      </c>
      <c r="B26" s="30">
        <f>A26-Calculator!$H$8</f>
        <v>71</v>
      </c>
      <c r="C26" s="36"/>
      <c r="D26" s="32">
        <f>IF(D25=0,IF(B26&gt;=Calculator!$H$10,Calculator!$H$11,0)*Calculator!$H$17,D25*(1+Calculator!$H$6))</f>
        <v>56932.4725</v>
      </c>
      <c r="E26" s="33">
        <f>IF(B26&gt;=Calculator!$H$9,T25*Calculator!$H$14,0)</f>
        <v>257259.2988</v>
      </c>
      <c r="F26" s="33">
        <f>IF(B26&gt;=Calculator!$H$9,U25*Calculator!$H$14,0)</f>
        <v>24570.6469</v>
      </c>
      <c r="G26" s="33">
        <f>IF(B26&gt;=Calculator!$H$7,V25*Calculator!$H$14,0)</f>
        <v>103159.9504</v>
      </c>
      <c r="H26" s="33">
        <f>IF(B26&gt;=Calculator!$H$7,IF(W25&lt;=0,0,W25*Calculator!$H$14),0)</f>
        <v>0</v>
      </c>
      <c r="I26" s="32">
        <f>IF(I25=0,IF(B26&gt;=Calculator!$H$7,Calculator!$H$12,0),I25*(1+Calculator!$H$6))</f>
        <v>0</v>
      </c>
      <c r="J26" s="34">
        <f>(D26*0.85+E26+H26+I26)*(1-Calculator!$H$5)+D26*0.15+(G26)*(1-Calculator!$H$4)+F26</f>
        <v>370475.9935</v>
      </c>
      <c r="K26" s="38">
        <f t="shared" si="1"/>
        <v>441922.3686</v>
      </c>
      <c r="L26" s="38">
        <f t="shared" si="2"/>
        <v>377397.7056</v>
      </c>
      <c r="M26" s="38">
        <f>IF(B26=Calculator!$C$2,Calculator!$B$8,M25*(1+Calculator!$H$6))</f>
        <v>267407.78</v>
      </c>
      <c r="N26" s="14"/>
      <c r="O26" s="34">
        <f t="shared" si="3"/>
        <v>267407.78</v>
      </c>
      <c r="P26" s="34">
        <f t="shared" si="4"/>
        <v>109989.9255</v>
      </c>
      <c r="Q26" s="34">
        <f>IF(Calculator!$H$18="Y",Q25+IF(Q25&lt;0,Q25*Calculator!$H$2,Q25*Calculator!$H$3)+P26,0)</f>
        <v>0</v>
      </c>
      <c r="R26" s="35">
        <f t="shared" si="5"/>
        <v>9314215.016</v>
      </c>
      <c r="S26" s="37">
        <f t="shared" si="6"/>
        <v>9314215.016</v>
      </c>
      <c r="T26" s="35">
        <f>IF(B26&gt;=Calculator!$H$7,T25*(1+Calculator!$H$3)-E26,FV(Calculator!$H$1,B26+Calculator!$H$8-Calculator!$B$2, -Calculator!$C$17,-Calculator!$C$13))</f>
        <v>6753056.593</v>
      </c>
      <c r="U26" s="35">
        <f>IF(B26&gt;=Calculator!$H$7,U25*(1+Calculator!$H$3)-F26,FV(Calculator!$H$1,B26+Calculator!$H$8-Calculator!$B$2, -Calculator!$D$17,-Calculator!$D$13))</f>
        <v>644979.4811</v>
      </c>
      <c r="V26" s="35">
        <f>IF(B26&gt;=Calculator!$H$7,V25*(1+Calculator!$H$3)-G26,FV(Calculator!$H$1,B26+Calculator!$H$8-Calculator!$B$2, -Calculator!$E$17,-Calculator!$E$13))</f>
        <v>2707948.699</v>
      </c>
      <c r="W26" s="35">
        <f>IF(B26&gt;=Calculator!$H$7,W25*(1+Calculator!$H$3)-H26,FV(Calculator!$H$1,B26+Calculator!$H$8-Calculator!$B$2, -Calculator!$F$17,-Calculator!$F$13))+P26</f>
        <v>-791769.7577</v>
      </c>
      <c r="X26" s="37">
        <f t="shared" si="12"/>
        <v>417351.7217</v>
      </c>
      <c r="Y26" s="37">
        <f>Y25*(1+Calculator!$H$6)</f>
        <v>61617.88858</v>
      </c>
      <c r="Z26" s="37">
        <f t="shared" si="8"/>
        <v>94728.40635</v>
      </c>
      <c r="AA26" s="37">
        <f t="shared" si="9"/>
        <v>322623.3154</v>
      </c>
      <c r="AB26" s="37">
        <f>AA26*Calculator!$H$5</f>
        <v>64524.66308</v>
      </c>
      <c r="AC26" s="37">
        <f t="shared" si="10"/>
        <v>12.60050128</v>
      </c>
      <c r="AD26" s="37">
        <f t="shared" si="13"/>
        <v>35532.70398</v>
      </c>
      <c r="AE26" s="36"/>
      <c r="AF26" s="36"/>
      <c r="AG26" s="36"/>
      <c r="AH26" s="36"/>
      <c r="AI26" s="36"/>
      <c r="AJ26" s="36"/>
      <c r="AK26" s="36"/>
    </row>
    <row r="27">
      <c r="A27" s="30">
        <v>2045.0</v>
      </c>
      <c r="B27" s="30">
        <f>A27-Calculator!$H$8</f>
        <v>72</v>
      </c>
      <c r="C27" s="36"/>
      <c r="D27" s="32">
        <f>IF(D26=0,IF(B27&gt;=Calculator!$H$10,Calculator!$H$11,0)*Calculator!$H$17,D26*(1+Calculator!$H$6))</f>
        <v>59209.7714</v>
      </c>
      <c r="E27" s="33">
        <f>IF(B27&gt;=Calculator!$H$9,T26*Calculator!$H$14,0)</f>
        <v>270122.2637</v>
      </c>
      <c r="F27" s="33">
        <f>IF(B27&gt;=Calculator!$H$9,U26*Calculator!$H$14,0)</f>
        <v>25799.17924</v>
      </c>
      <c r="G27" s="33">
        <f>IF(B27&gt;=Calculator!$H$7,V26*Calculator!$H$14,0)</f>
        <v>108317.948</v>
      </c>
      <c r="H27" s="33">
        <f>IF(B27&gt;=Calculator!$H$7,IF(W26&lt;=0,0,W26*Calculator!$H$14),0)</f>
        <v>0</v>
      </c>
      <c r="I27" s="32">
        <f>IF(I26=0,IF(B27&gt;=Calculator!$H$7,Calculator!$H$12,0),I26*(1+Calculator!$H$6))</f>
        <v>0</v>
      </c>
      <c r="J27" s="34">
        <f>(D27*0.85+E27+H27+I27)*(1-Calculator!$H$5)+D27*0.15+(G27)*(1-Calculator!$H$4)+F27</f>
        <v>388527.2537</v>
      </c>
      <c r="K27" s="38">
        <f t="shared" si="1"/>
        <v>463449.1623</v>
      </c>
      <c r="L27" s="38">
        <f t="shared" si="2"/>
        <v>395671.8155</v>
      </c>
      <c r="M27" s="38">
        <f>IF(B27=Calculator!$C$2,Calculator!$B$8,M26*(1+Calculator!$H$6))</f>
        <v>278104.0912</v>
      </c>
      <c r="N27" s="14"/>
      <c r="O27" s="34">
        <f t="shared" si="3"/>
        <v>278104.0912</v>
      </c>
      <c r="P27" s="34">
        <f t="shared" si="4"/>
        <v>117567.7243</v>
      </c>
      <c r="Q27" s="34">
        <f>IF(Calculator!$H$18="Y",Q26+IF(Q26&lt;0,Q26*Calculator!$H$2,Q26*Calculator!$H$3)+P27,0)</f>
        <v>0</v>
      </c>
      <c r="R27" s="35">
        <f t="shared" si="5"/>
        <v>9865822.701</v>
      </c>
      <c r="S27" s="37">
        <f t="shared" si="6"/>
        <v>9865822.701</v>
      </c>
      <c r="T27" s="35">
        <f>IF(B27&gt;=Calculator!$H$7,T26*(1+Calculator!$H$3)-E27,FV(Calculator!$H$1,B27+Calculator!$H$8-Calculator!$B$2, -Calculator!$C$17,-Calculator!$C$13))</f>
        <v>7090709.423</v>
      </c>
      <c r="U27" s="35">
        <f>IF(B27&gt;=Calculator!$H$7,U26*(1+Calculator!$H$3)-F27,FV(Calculator!$H$1,B27+Calculator!$H$8-Calculator!$B$2, -Calculator!$D$17,-Calculator!$D$13))</f>
        <v>677228.4552</v>
      </c>
      <c r="V27" s="35">
        <f>IF(B27&gt;=Calculator!$H$7,V26*(1+Calculator!$H$3)-G27,FV(Calculator!$H$1,B27+Calculator!$H$8-Calculator!$B$2, -Calculator!$E$17,-Calculator!$E$13))</f>
        <v>2843346.134</v>
      </c>
      <c r="W27" s="35">
        <f>IF(B27&gt;=Calculator!$H$7,W26*(1+Calculator!$H$3)-H27,FV(Calculator!$H$1,B27+Calculator!$H$8-Calculator!$B$2, -Calculator!$F$17,-Calculator!$F$13))+P27</f>
        <v>-745461.3116</v>
      </c>
      <c r="X27" s="37">
        <f t="shared" si="12"/>
        <v>437649.9831</v>
      </c>
      <c r="Y27" s="37">
        <f>Y26*(1+Calculator!$H$6)</f>
        <v>64082.60412</v>
      </c>
      <c r="Z27" s="37">
        <f t="shared" si="8"/>
        <v>98763.24908</v>
      </c>
      <c r="AA27" s="37">
        <f t="shared" si="9"/>
        <v>338886.734</v>
      </c>
      <c r="AB27" s="37">
        <f>AA27*Calculator!$H$5</f>
        <v>67777.3468</v>
      </c>
      <c r="AC27" s="37">
        <f t="shared" si="10"/>
        <v>12.63528614</v>
      </c>
      <c r="AD27" s="37">
        <f t="shared" si="13"/>
        <v>46308.44611</v>
      </c>
      <c r="AE27" s="36"/>
      <c r="AF27" s="36"/>
      <c r="AG27" s="36"/>
      <c r="AH27" s="36"/>
      <c r="AI27" s="36"/>
      <c r="AJ27" s="36"/>
      <c r="AK27" s="36"/>
    </row>
    <row r="28">
      <c r="A28" s="30">
        <v>2046.0</v>
      </c>
      <c r="B28" s="30">
        <f>A28-Calculator!$H$8</f>
        <v>73</v>
      </c>
      <c r="C28" s="36" t="str">
        <f>IF(Calculator!$H$15=B28,"Transfer",)</f>
        <v/>
      </c>
      <c r="D28" s="32">
        <f>IF(D27=0,IF(B28&gt;=Calculator!$H$10,Calculator!$H$11,0)*Calculator!$H$17,D27*(1+Calculator!$H$6))</f>
        <v>61578.16225</v>
      </c>
      <c r="E28" s="33">
        <f>IF(B28&gt;=Calculator!$H$9,T27*Calculator!$H$14,0)</f>
        <v>283628.3769</v>
      </c>
      <c r="F28" s="33">
        <f>IF(B28&gt;=Calculator!$H$9,U27*Calculator!$H$14,0)</f>
        <v>27089.13821</v>
      </c>
      <c r="G28" s="33">
        <f>IF(B28&gt;=Calculator!$H$7,V27*Calculator!$H$14,0)</f>
        <v>113733.8454</v>
      </c>
      <c r="H28" s="33">
        <f>IF(B28&gt;=Calculator!$H$7,IF(W27&lt;=0,0,W27*Calculator!$H$14),0)</f>
        <v>0</v>
      </c>
      <c r="I28" s="32">
        <f>IF(I27=0,IF(B28&gt;=Calculator!$H$7,Calculator!$H$12,0),I27*(1+Calculator!$H$6))</f>
        <v>0</v>
      </c>
      <c r="J28" s="34">
        <f>(D28*0.85+E28+H28+I28)*(1-Calculator!$H$5)+D28*0.15+(G28)*(1-Calculator!$H$4)+F28</f>
        <v>407462.1752</v>
      </c>
      <c r="K28" s="38">
        <f t="shared" si="1"/>
        <v>486029.5227</v>
      </c>
      <c r="L28" s="38">
        <f t="shared" si="2"/>
        <v>414835.8</v>
      </c>
      <c r="M28" s="38">
        <f>IF(B28=Calculator!$C$2,Calculator!$B$8,M27*(1+Calculator!$H$6))</f>
        <v>289228.2549</v>
      </c>
      <c r="N28" s="32"/>
      <c r="O28" s="34">
        <f t="shared" si="3"/>
        <v>289228.2549</v>
      </c>
      <c r="P28" s="34">
        <f t="shared" si="4"/>
        <v>125607.5451</v>
      </c>
      <c r="Q28" s="34">
        <f>IF(Calculator!$H$18="Y",Q27+IF(Q27&lt;0,Q27*Calculator!$H$2,Q27*Calculator!$H$3)+P28,0)</f>
        <v>0</v>
      </c>
      <c r="R28" s="35">
        <f t="shared" si="5"/>
        <v>10454902.93</v>
      </c>
      <c r="S28" s="37">
        <f t="shared" si="6"/>
        <v>10454902.93</v>
      </c>
      <c r="T28" s="35">
        <f>IF(B28&gt;=Calculator!$H$7,T27*(1+Calculator!$H$3)-E28,FV(Calculator!$H$1,B28+Calculator!$H$8-Calculator!$B$2, -Calculator!$C$17,-Calculator!$C$13))</f>
        <v>7445244.894</v>
      </c>
      <c r="U28" s="35">
        <f>IF(B28&gt;=Calculator!$H$7,U27*(1+Calculator!$H$3)-F28,FV(Calculator!$H$1,B28+Calculator!$H$8-Calculator!$B$2, -Calculator!$D$17,-Calculator!$D$13))</f>
        <v>711089.8779</v>
      </c>
      <c r="V28" s="35">
        <f>IF(B28&gt;=Calculator!$H$7,V27*(1+Calculator!$H$3)-G28,FV(Calculator!$H$1,B28+Calculator!$H$8-Calculator!$B$2, -Calculator!$E$17,-Calculator!$E$13))</f>
        <v>2985513.441</v>
      </c>
      <c r="W28" s="35">
        <f>IF(B28&gt;=Calculator!$H$7,W27*(1+Calculator!$H$3)-H28,FV(Calculator!$H$1,B28+Calculator!$H$8-Calculator!$B$2, -Calculator!$F$17,-Calculator!$F$13))+P28</f>
        <v>-686945.2845</v>
      </c>
      <c r="X28" s="37">
        <f t="shared" si="12"/>
        <v>458940.3845</v>
      </c>
      <c r="Y28" s="37">
        <f>Y27*(1+Calculator!$H$6)</f>
        <v>66645.90829</v>
      </c>
      <c r="Z28" s="37">
        <f t="shared" si="8"/>
        <v>102971.7708</v>
      </c>
      <c r="AA28" s="37">
        <f t="shared" si="9"/>
        <v>355968.6137</v>
      </c>
      <c r="AB28" s="37">
        <f>AA28*Calculator!$H$5</f>
        <v>71193.72274</v>
      </c>
      <c r="AC28" s="37">
        <f t="shared" si="10"/>
        <v>12.66990259</v>
      </c>
      <c r="AD28" s="37">
        <f t="shared" si="13"/>
        <v>58516.02708</v>
      </c>
      <c r="AE28" s="36"/>
      <c r="AF28" s="36"/>
      <c r="AG28" s="36"/>
      <c r="AH28" s="36"/>
      <c r="AI28" s="36"/>
      <c r="AJ28" s="36"/>
      <c r="AK28" s="36"/>
    </row>
    <row r="29">
      <c r="A29" s="30">
        <v>2047.0</v>
      </c>
      <c r="B29" s="30">
        <f>A29-Calculator!$H$8</f>
        <v>74</v>
      </c>
      <c r="C29" s="36" t="str">
        <f>IF(Calculator!$H$15=B29,"Transfer",)</f>
        <v/>
      </c>
      <c r="D29" s="32">
        <f>IF(D28=0,IF(B29&gt;=Calculator!$H$10,Calculator!$H$11,0)*Calculator!$H$17,D28*(1+Calculator!$H$6))</f>
        <v>64041.28874</v>
      </c>
      <c r="E29" s="33">
        <f>IF(B29&gt;=Calculator!$H$9,T28*Calculator!$H$14,0)</f>
        <v>297809.7958</v>
      </c>
      <c r="F29" s="33">
        <f>IF(B29&gt;=Calculator!$H$9,U28*Calculator!$H$14,0)</f>
        <v>28443.59512</v>
      </c>
      <c r="G29" s="33">
        <f>IF(B29&gt;=Calculator!$H$7,V28*Calculator!$H$14,0)</f>
        <v>119420.5376</v>
      </c>
      <c r="H29" s="33">
        <f>IF(B29&gt;=Calculator!$H$7,IF(W28&lt;=0,0,W28*Calculator!$H$14),0)</f>
        <v>0</v>
      </c>
      <c r="I29" s="32">
        <f>IF(I28=0,IF(B29&gt;=Calculator!$H$7,Calculator!$H$12,0),I28*(1+Calculator!$H$6))</f>
        <v>0</v>
      </c>
      <c r="J29" s="34">
        <f>(D29*0.85+E29+H29+I29)*(1-Calculator!$H$5)+D29*0.15+(G29)*(1-Calculator!$H$4)+F29</f>
        <v>427324.1853</v>
      </c>
      <c r="K29" s="38">
        <f t="shared" si="1"/>
        <v>509715.2173</v>
      </c>
      <c r="L29" s="38">
        <f t="shared" si="2"/>
        <v>434933.1994</v>
      </c>
      <c r="M29" s="38">
        <f>IF(B29=Calculator!$C$2,Calculator!$B$8,M28*(1+Calculator!$H$6))</f>
        <v>300797.3851</v>
      </c>
      <c r="N29" s="32"/>
      <c r="O29" s="34">
        <f t="shared" si="3"/>
        <v>300797.3851</v>
      </c>
      <c r="P29" s="34">
        <f t="shared" si="4"/>
        <v>134135.8144</v>
      </c>
      <c r="Q29" s="34">
        <f>IF(Calculator!$H$18="Y",Q28+IF(Q28&lt;0,Q28*Calculator!$H$2,Q28*Calculator!$H$3)+P29,0)</f>
        <v>0</v>
      </c>
      <c r="R29" s="35">
        <f t="shared" si="5"/>
        <v>11084306.08</v>
      </c>
      <c r="S29" s="37">
        <f t="shared" si="6"/>
        <v>11084306.08</v>
      </c>
      <c r="T29" s="35">
        <f>IF(B29&gt;=Calculator!$H$7,T28*(1+Calculator!$H$3)-E29,FV(Calculator!$H$1,B29+Calculator!$H$8-Calculator!$B$2, -Calculator!$C$17,-Calculator!$C$13))</f>
        <v>7817507.139</v>
      </c>
      <c r="U29" s="35">
        <f>IF(B29&gt;=Calculator!$H$7,U28*(1+Calculator!$H$3)-F29,FV(Calculator!$H$1,B29+Calculator!$H$8-Calculator!$B$2, -Calculator!$D$17,-Calculator!$D$13))</f>
        <v>746644.3718</v>
      </c>
      <c r="V29" s="35">
        <f>IF(B29&gt;=Calculator!$H$7,V28*(1+Calculator!$H$3)-G29,FV(Calculator!$H$1,B29+Calculator!$H$8-Calculator!$B$2, -Calculator!$E$17,-Calculator!$E$13))</f>
        <v>3134789.113</v>
      </c>
      <c r="W29" s="35">
        <f>IF(B29&gt;=Calculator!$H$7,W28*(1+Calculator!$H$3)-H29,FV(Calculator!$H$1,B29+Calculator!$H$8-Calculator!$B$2, -Calculator!$F$17,-Calculator!$F$13))+P29</f>
        <v>-614634.5458</v>
      </c>
      <c r="X29" s="37">
        <f t="shared" si="12"/>
        <v>481271.6221</v>
      </c>
      <c r="Y29" s="37">
        <f>Y28*(1+Calculator!$H$6)</f>
        <v>69311.74462</v>
      </c>
      <c r="Z29" s="37">
        <f t="shared" si="8"/>
        <v>107361.533</v>
      </c>
      <c r="AA29" s="37">
        <f t="shared" si="9"/>
        <v>373910.0891</v>
      </c>
      <c r="AB29" s="37">
        <f>AA29*Calculator!$H$5</f>
        <v>74782.01782</v>
      </c>
      <c r="AC29" s="37">
        <f t="shared" si="10"/>
        <v>12.70435027</v>
      </c>
      <c r="AD29" s="37">
        <f t="shared" si="13"/>
        <v>72310.73876</v>
      </c>
      <c r="AE29" s="36"/>
      <c r="AF29" s="36"/>
      <c r="AG29" s="36"/>
      <c r="AH29" s="36"/>
      <c r="AI29" s="36"/>
      <c r="AJ29" s="36"/>
      <c r="AK29" s="36"/>
    </row>
    <row r="30">
      <c r="A30" s="30">
        <v>2048.0</v>
      </c>
      <c r="B30" s="30">
        <f>A30-Calculator!$H$8</f>
        <v>75</v>
      </c>
      <c r="C30" s="36" t="str">
        <f>IF(Calculator!$H$15=B30,"Transfer",)</f>
        <v/>
      </c>
      <c r="D30" s="32">
        <f>IF(D29=0,IF(B30&gt;=Calculator!$H$10,Calculator!$H$11,0)*Calculator!$H$17,D29*(1+Calculator!$H$6))</f>
        <v>66602.94029</v>
      </c>
      <c r="E30" s="33">
        <f>IF(B30&gt;=Calculator!$H$9,T29*Calculator!$H$14,0)</f>
        <v>312700.2856</v>
      </c>
      <c r="F30" s="33">
        <f>IF(B30&gt;=Calculator!$H$9,U29*Calculator!$H$14,0)</f>
        <v>29865.77487</v>
      </c>
      <c r="G30" s="33">
        <f>IF(B30&gt;=Calculator!$H$7,V29*Calculator!$H$14,0)</f>
        <v>125391.5645</v>
      </c>
      <c r="H30" s="33">
        <f>IF(B30&gt;=Calculator!$H$7,IF(W29&lt;=0,0,W29*Calculator!$H$14),0)</f>
        <v>0</v>
      </c>
      <c r="I30" s="32">
        <f>IF(I29=0,IF(B30&gt;=Calculator!$H$7,Calculator!$H$12,0),I29*(1+Calculator!$H$6))</f>
        <v>0</v>
      </c>
      <c r="J30" s="34">
        <f>(D30*0.85+E30+H30+I30)*(1-Calculator!$H$5)+D30*0.15+(G30)*(1-Calculator!$H$4)+F30</f>
        <v>448158.8518</v>
      </c>
      <c r="K30" s="38">
        <f t="shared" si="1"/>
        <v>534560.5652</v>
      </c>
      <c r="L30" s="38">
        <f t="shared" si="2"/>
        <v>456009.6932</v>
      </c>
      <c r="M30" s="38">
        <f>IF(B30=Calculator!$C$2,Calculator!$B$8,M29*(1+Calculator!$H$6))</f>
        <v>312829.2805</v>
      </c>
      <c r="N30" s="32"/>
      <c r="O30" s="34">
        <f t="shared" si="3"/>
        <v>312829.2805</v>
      </c>
      <c r="P30" s="34">
        <f t="shared" si="4"/>
        <v>143180.4127</v>
      </c>
      <c r="Q30" s="34">
        <f>IF(Calculator!$H$18="Y",Q29+IF(Q29&lt;0,Q29*Calculator!$H$2,Q29*Calculator!$H$3)+P30,0)</f>
        <v>0</v>
      </c>
      <c r="R30" s="35">
        <f t="shared" si="5"/>
        <v>11757116.41</v>
      </c>
      <c r="S30" s="37">
        <f t="shared" si="6"/>
        <v>11757116.41</v>
      </c>
      <c r="T30" s="35">
        <f>IF(B30&gt;=Calculator!$H$7,T29*(1+Calculator!$H$3)-E30,FV(Calculator!$H$1,B30+Calculator!$H$8-Calculator!$B$2, -Calculator!$C$17,-Calculator!$C$13))</f>
        <v>8208382.496</v>
      </c>
      <c r="U30" s="35">
        <f>IF(B30&gt;=Calculator!$H$7,U29*(1+Calculator!$H$3)-F30,FV(Calculator!$H$1,B30+Calculator!$H$8-Calculator!$B$2, -Calculator!$D$17,-Calculator!$D$13))</f>
        <v>783976.5904</v>
      </c>
      <c r="V30" s="35">
        <f>IF(B30&gt;=Calculator!$H$7,V29*(1+Calculator!$H$3)-G30,FV(Calculator!$H$1,B30+Calculator!$H$8-Calculator!$B$2, -Calculator!$E$17,-Calculator!$E$13))</f>
        <v>3291528.568</v>
      </c>
      <c r="W30" s="35">
        <f>IF(B30&gt;=Calculator!$H$7,W29*(1+Calculator!$H$3)-H30,FV(Calculator!$H$1,B30+Calculator!$H$8-Calculator!$B$2, -Calculator!$F$17,-Calculator!$F$13))+P30</f>
        <v>-526771.2422</v>
      </c>
      <c r="X30" s="37">
        <f t="shared" si="12"/>
        <v>504694.7904</v>
      </c>
      <c r="Y30" s="37">
        <f>Y29*(1+Calculator!$H$6)</f>
        <v>72084.2144</v>
      </c>
      <c r="Z30" s="37">
        <f t="shared" si="8"/>
        <v>111940.4303</v>
      </c>
      <c r="AA30" s="37">
        <f t="shared" si="9"/>
        <v>392754.36</v>
      </c>
      <c r="AB30" s="37">
        <f>AA30*Calculator!$H$5</f>
        <v>78550.87201</v>
      </c>
      <c r="AC30" s="37">
        <f t="shared" si="10"/>
        <v>12.73862883</v>
      </c>
      <c r="AD30" s="37">
        <f t="shared" si="13"/>
        <v>87863.30363</v>
      </c>
      <c r="AE30" s="36"/>
      <c r="AF30" s="36"/>
      <c r="AG30" s="36"/>
      <c r="AH30" s="36"/>
      <c r="AI30" s="36"/>
      <c r="AJ30" s="36"/>
      <c r="AK30" s="36"/>
    </row>
    <row r="31">
      <c r="A31" s="30">
        <v>2049.0</v>
      </c>
      <c r="B31" s="30">
        <f>A31-Calculator!$H$8</f>
        <v>76</v>
      </c>
      <c r="C31" s="36" t="str">
        <f>IF(Calculator!$H$15=B31,"Transfer",)</f>
        <v/>
      </c>
      <c r="D31" s="32">
        <f>IF(D30=0,IF(B31&gt;=Calculator!$H$10,Calculator!$H$11,0)*Calculator!$H$17,D30*(1+Calculator!$H$6))</f>
        <v>69267.0579</v>
      </c>
      <c r="E31" s="33">
        <f>IF(B31&gt;=Calculator!$H$9,T30*Calculator!$H$14,0)</f>
        <v>328335.2998</v>
      </c>
      <c r="F31" s="33">
        <f>IF(B31&gt;=Calculator!$H$9,U30*Calculator!$H$14,0)</f>
        <v>31359.06362</v>
      </c>
      <c r="G31" s="33">
        <f>IF(B31&gt;=Calculator!$H$7,V30*Calculator!$H$14,0)</f>
        <v>131661.1427</v>
      </c>
      <c r="H31" s="33">
        <f>IF(B31&gt;=Calculator!$H$7,IF(W30&lt;=0,0,W30*Calculator!$H$14),0)</f>
        <v>0</v>
      </c>
      <c r="I31" s="32">
        <f>IF(I30=0,IF(B31&gt;=Calculator!$H$7,Calculator!$H$12,0),I30*(1+Calculator!$H$6))</f>
        <v>0</v>
      </c>
      <c r="J31" s="34">
        <f>(D31*0.85+E31+H31+I31)*(1-Calculator!$H$5)+D31*0.15+(G31)*(1-Calculator!$H$4)+F31</f>
        <v>470013.99</v>
      </c>
      <c r="K31" s="38">
        <f t="shared" si="1"/>
        <v>560622.5641</v>
      </c>
      <c r="L31" s="38">
        <f t="shared" si="2"/>
        <v>478113.2051</v>
      </c>
      <c r="M31" s="38">
        <f>IF(B31=Calculator!$C$2,Calculator!$B$8,M30*(1+Calculator!$H$6))</f>
        <v>325342.4517</v>
      </c>
      <c r="N31" s="32"/>
      <c r="O31" s="34">
        <f t="shared" si="3"/>
        <v>325342.4517</v>
      </c>
      <c r="P31" s="34">
        <f t="shared" si="4"/>
        <v>152770.7534</v>
      </c>
      <c r="Q31" s="34">
        <f>IF(Calculator!$H$18="Y",Q30+IF(Q30&lt;0,Q30*Calculator!$H$2,Q30*Calculator!$H$3)+P31,0)</f>
        <v>0</v>
      </c>
      <c r="R31" s="35">
        <f t="shared" si="5"/>
        <v>12476672.14</v>
      </c>
      <c r="S31" s="37">
        <f t="shared" si="6"/>
        <v>12476672.14</v>
      </c>
      <c r="T31" s="35">
        <f>IF(B31&gt;=Calculator!$H$7,T30*(1+Calculator!$H$3)-E31,FV(Calculator!$H$1,B31+Calculator!$H$8-Calculator!$B$2, -Calculator!$C$17,-Calculator!$C$13))</f>
        <v>8618801.621</v>
      </c>
      <c r="U31" s="35">
        <f>IF(B31&gt;=Calculator!$H$7,U30*(1+Calculator!$H$3)-F31,FV(Calculator!$H$1,B31+Calculator!$H$8-Calculator!$B$2, -Calculator!$D$17,-Calculator!$D$13))</f>
        <v>823175.4199</v>
      </c>
      <c r="V31" s="35">
        <f>IF(B31&gt;=Calculator!$H$7,V30*(1+Calculator!$H$3)-G31,FV(Calculator!$H$1,B31+Calculator!$H$8-Calculator!$B$2, -Calculator!$E$17,-Calculator!$E$13))</f>
        <v>3456104.997</v>
      </c>
      <c r="W31" s="35">
        <f>IF(B31&gt;=Calculator!$H$7,W30*(1+Calculator!$H$3)-H31,FV(Calculator!$H$1,B31+Calculator!$H$8-Calculator!$B$2, -Calculator!$F$17,-Calculator!$F$13))+P31</f>
        <v>-421409.9006</v>
      </c>
      <c r="X31" s="37">
        <f t="shared" si="12"/>
        <v>529263.5005</v>
      </c>
      <c r="Y31" s="37">
        <f>Y30*(1+Calculator!$H$6)</f>
        <v>74967.58298</v>
      </c>
      <c r="Z31" s="37">
        <f t="shared" si="8"/>
        <v>116716.7053</v>
      </c>
      <c r="AA31" s="37">
        <f t="shared" si="9"/>
        <v>412546.7952</v>
      </c>
      <c r="AB31" s="37">
        <f>AA31*Calculator!$H$5</f>
        <v>82509.35904</v>
      </c>
      <c r="AC31" s="37">
        <f t="shared" si="10"/>
        <v>12.77273797</v>
      </c>
      <c r="AD31" s="37">
        <f t="shared" si="13"/>
        <v>105361.3416</v>
      </c>
      <c r="AE31" s="36"/>
      <c r="AF31" s="36"/>
      <c r="AG31" s="36"/>
      <c r="AH31" s="36"/>
      <c r="AI31" s="36"/>
      <c r="AJ31" s="36"/>
      <c r="AK31" s="36"/>
    </row>
    <row r="32">
      <c r="A32" s="30">
        <v>2050.0</v>
      </c>
      <c r="B32" s="30">
        <f>A32-Calculator!$H$8</f>
        <v>77</v>
      </c>
      <c r="C32" s="36" t="str">
        <f>IF(Calculator!$H$15=B32,"Transfer",)</f>
        <v/>
      </c>
      <c r="D32" s="32">
        <f>IF(D31=0,IF(B32&gt;=Calculator!$H$10,Calculator!$H$11,0)*Calculator!$H$17,D31*(1+Calculator!$H$6))</f>
        <v>72037.74022</v>
      </c>
      <c r="E32" s="33">
        <f>IF(B32&gt;=Calculator!$H$9,T31*Calculator!$H$14,0)</f>
        <v>344752.0648</v>
      </c>
      <c r="F32" s="33">
        <f>IF(B32&gt;=Calculator!$H$9,U31*Calculator!$H$14,0)</f>
        <v>32927.0168</v>
      </c>
      <c r="G32" s="33">
        <f>IF(B32&gt;=Calculator!$H$7,V31*Calculator!$H$14,0)</f>
        <v>138244.1999</v>
      </c>
      <c r="H32" s="33">
        <f>IF(B32&gt;=Calculator!$H$7,IF(W31&lt;=0,0,W31*Calculator!$H$14),0)</f>
        <v>0</v>
      </c>
      <c r="I32" s="32">
        <f>IF(I31=0,IF(B32&gt;=Calculator!$H$7,Calculator!$H$12,0),I31*(1+Calculator!$H$6))</f>
        <v>0</v>
      </c>
      <c r="J32" s="34">
        <f>(D32*0.85+E32+H32+I32)*(1-Calculator!$H$5)+D32*0.15+(G32)*(1-Calculator!$H$4)+F32</f>
        <v>492939.7729</v>
      </c>
      <c r="K32" s="38">
        <f t="shared" si="1"/>
        <v>587961.0217</v>
      </c>
      <c r="L32" s="38">
        <f t="shared" si="2"/>
        <v>501294.0136</v>
      </c>
      <c r="M32" s="38">
        <f>IF(B32=Calculator!$C$2,Calculator!$B$8,M31*(1+Calculator!$H$6))</f>
        <v>338356.1498</v>
      </c>
      <c r="N32" s="32"/>
      <c r="O32" s="34">
        <f t="shared" si="3"/>
        <v>338356.1498</v>
      </c>
      <c r="P32" s="34">
        <f t="shared" si="4"/>
        <v>162937.8638</v>
      </c>
      <c r="Q32" s="34">
        <f>IF(Calculator!$H$18="Y",Q31+IF(Q31&lt;0,Q31*Calculator!$H$2,Q31*Calculator!$H$3)+P32,0)</f>
        <v>0</v>
      </c>
      <c r="R32" s="35">
        <f t="shared" si="5"/>
        <v>13246587.21</v>
      </c>
      <c r="S32" s="37">
        <f t="shared" si="6"/>
        <v>13246587.21</v>
      </c>
      <c r="T32" s="35">
        <f>IF(B32&gt;=Calculator!$H$7,T31*(1+Calculator!$H$3)-E32,FV(Calculator!$H$1,B32+Calculator!$H$8-Calculator!$B$2, -Calculator!$C$17,-Calculator!$C$13))</f>
        <v>9049741.702</v>
      </c>
      <c r="U32" s="35">
        <f>IF(B32&gt;=Calculator!$H$7,U31*(1+Calculator!$H$3)-F32,FV(Calculator!$H$1,B32+Calculator!$H$8-Calculator!$B$2, -Calculator!$D$17,-Calculator!$D$13))</f>
        <v>864334.1909</v>
      </c>
      <c r="V32" s="35">
        <f>IF(B32&gt;=Calculator!$H$7,V31*(1+Calculator!$H$3)-G32,FV(Calculator!$H$1,B32+Calculator!$H$8-Calculator!$B$2, -Calculator!$E$17,-Calculator!$E$13))</f>
        <v>3628910.247</v>
      </c>
      <c r="W32" s="35">
        <f>IF(B32&gt;=Calculator!$H$7,W31*(1+Calculator!$H$3)-H32,FV(Calculator!$H$1,B32+Calculator!$H$8-Calculator!$B$2, -Calculator!$F$17,-Calculator!$F$13))+P32</f>
        <v>-296398.9279</v>
      </c>
      <c r="X32" s="37">
        <f t="shared" si="12"/>
        <v>555034.0049</v>
      </c>
      <c r="Y32" s="37">
        <f>Y31*(1+Calculator!$H$6)</f>
        <v>77966.2863</v>
      </c>
      <c r="Z32" s="37">
        <f t="shared" si="8"/>
        <v>121698.9641</v>
      </c>
      <c r="AA32" s="37">
        <f t="shared" si="9"/>
        <v>433335.0408</v>
      </c>
      <c r="AB32" s="37">
        <f>AA32*Calculator!$H$5</f>
        <v>86667.00816</v>
      </c>
      <c r="AC32" s="37">
        <f t="shared" si="10"/>
        <v>12.80667739</v>
      </c>
      <c r="AD32" s="37">
        <f t="shared" si="13"/>
        <v>125010.9727</v>
      </c>
      <c r="AE32" s="36"/>
      <c r="AF32" s="36"/>
      <c r="AG32" s="36"/>
      <c r="AH32" s="36"/>
      <c r="AI32" s="36"/>
      <c r="AJ32" s="36"/>
      <c r="AK32" s="36"/>
    </row>
    <row r="33">
      <c r="A33" s="30">
        <v>2051.0</v>
      </c>
      <c r="B33" s="30">
        <f>A33-Calculator!$H$8</f>
        <v>78</v>
      </c>
      <c r="C33" s="36" t="str">
        <f>IF(Calculator!$H$15=B33,"Transfer",)</f>
        <v/>
      </c>
      <c r="D33" s="32">
        <f>IF(D32=0,IF(B33&gt;=Calculator!$H$10,Calculator!$H$11,0)*Calculator!$H$17,D32*(1+Calculator!$H$6))</f>
        <v>74919.24983</v>
      </c>
      <c r="E33" s="33">
        <f>IF(B33&gt;=Calculator!$H$9,T32*Calculator!$H$14,0)</f>
        <v>361989.6681</v>
      </c>
      <c r="F33" s="33">
        <f>IF(B33&gt;=Calculator!$H$9,U32*Calculator!$H$14,0)</f>
        <v>34573.36764</v>
      </c>
      <c r="G33" s="33">
        <f>IF(B33&gt;=Calculator!$H$7,V32*Calculator!$H$14,0)</f>
        <v>145156.4099</v>
      </c>
      <c r="H33" s="33">
        <f>IF(B33&gt;=Calculator!$H$7,IF(W32&lt;=0,0,W32*Calculator!$H$14),0)</f>
        <v>0</v>
      </c>
      <c r="I33" s="32">
        <f>IF(I32=0,IF(B33&gt;=Calculator!$H$7,Calculator!$H$12,0),I32*(1+Calculator!$H$6))</f>
        <v>0</v>
      </c>
      <c r="J33" s="34">
        <f>(D33*0.85+E33+H33+I33)*(1-Calculator!$H$5)+D33*0.15+(G33)*(1-Calculator!$H$4)+F33</f>
        <v>516988.8483</v>
      </c>
      <c r="K33" s="38">
        <f t="shared" si="1"/>
        <v>616638.6954</v>
      </c>
      <c r="L33" s="38">
        <f t="shared" si="2"/>
        <v>525604.8684</v>
      </c>
      <c r="M33" s="38">
        <f>IF(B33=Calculator!$C$2,Calculator!$B$8,M32*(1+Calculator!$H$6))</f>
        <v>351890.3958</v>
      </c>
      <c r="N33" s="32"/>
      <c r="O33" s="34">
        <f t="shared" si="3"/>
        <v>351890.3958</v>
      </c>
      <c r="P33" s="34">
        <f t="shared" si="4"/>
        <v>173714.4727</v>
      </c>
      <c r="Q33" s="34">
        <f>IF(Calculator!$H$18="Y",Q32+IF(Q32&lt;0,Q32*Calculator!$H$2,Q32*Calculator!$H$3)+P33,0)</f>
        <v>0</v>
      </c>
      <c r="R33" s="35">
        <f t="shared" si="5"/>
        <v>14070775.09</v>
      </c>
      <c r="S33" s="37">
        <f t="shared" si="6"/>
        <v>14070775.09</v>
      </c>
      <c r="T33" s="35">
        <f>IF(B33&gt;=Calculator!$H$7,T32*(1+Calculator!$H$3)-E33,FV(Calculator!$H$1,B33+Calculator!$H$8-Calculator!$B$2, -Calculator!$C$17,-Calculator!$C$13))</f>
        <v>9502228.787</v>
      </c>
      <c r="U33" s="35">
        <f>IF(B33&gt;=Calculator!$H$7,U32*(1+Calculator!$H$3)-F33,FV(Calculator!$H$1,B33+Calculator!$H$8-Calculator!$B$2, -Calculator!$D$17,-Calculator!$D$13))</f>
        <v>907550.9005</v>
      </c>
      <c r="V33" s="35">
        <f>IF(B33&gt;=Calculator!$H$7,V32*(1+Calculator!$H$3)-G33,FV(Calculator!$H$1,B33+Calculator!$H$8-Calculator!$B$2, -Calculator!$E$17,-Calculator!$E$13))</f>
        <v>3810355.759</v>
      </c>
      <c r="W33" s="35">
        <f>IF(B33&gt;=Calculator!$H$7,W32*(1+Calculator!$H$3)-H33,FV(Calculator!$H$1,B33+Calculator!$H$8-Calculator!$B$2, -Calculator!$F$17,-Calculator!$F$13))+P33</f>
        <v>-149360.3587</v>
      </c>
      <c r="X33" s="37">
        <f t="shared" si="12"/>
        <v>582065.3278</v>
      </c>
      <c r="Y33" s="37">
        <f>Y32*(1+Calculator!$H$6)</f>
        <v>81084.93775</v>
      </c>
      <c r="Z33" s="37">
        <f t="shared" si="8"/>
        <v>126896.1929</v>
      </c>
      <c r="AA33" s="37">
        <f t="shared" si="9"/>
        <v>455169.1349</v>
      </c>
      <c r="AB33" s="37">
        <f>AA33*Calculator!$H$5</f>
        <v>91033.82698</v>
      </c>
      <c r="AC33" s="37">
        <f t="shared" si="10"/>
        <v>12.84044681</v>
      </c>
      <c r="AD33" s="37">
        <f t="shared" si="13"/>
        <v>147038.5692</v>
      </c>
      <c r="AE33" s="36"/>
      <c r="AF33" s="36"/>
      <c r="AG33" s="36"/>
      <c r="AH33" s="36"/>
      <c r="AI33" s="36"/>
      <c r="AJ33" s="36"/>
      <c r="AK33" s="36"/>
    </row>
    <row r="34">
      <c r="A34" s="30">
        <v>2052.0</v>
      </c>
      <c r="B34" s="30">
        <f>A34-Calculator!$H$8</f>
        <v>79</v>
      </c>
      <c r="C34" s="36" t="str">
        <f>IF(Calculator!$H$15=B34,"Transfer",)</f>
        <v/>
      </c>
      <c r="D34" s="32">
        <f>IF(D33=0,IF(B34&gt;=Calculator!$H$10,Calculator!$H$11,0)*Calculator!$H$17,D33*(1+Calculator!$H$6))</f>
        <v>77916.01982</v>
      </c>
      <c r="E34" s="33">
        <f>IF(B34&gt;=Calculator!$H$9,T33*Calculator!$H$14,0)</f>
        <v>380089.1515</v>
      </c>
      <c r="F34" s="33">
        <f>IF(B34&gt;=Calculator!$H$9,U33*Calculator!$H$14,0)</f>
        <v>36302.03602</v>
      </c>
      <c r="G34" s="33">
        <f>IF(B34&gt;=Calculator!$H$7,V33*Calculator!$H$14,0)</f>
        <v>152414.2304</v>
      </c>
      <c r="H34" s="33">
        <f>IF(B34&gt;=Calculator!$H$7,IF(W33&lt;=0,0,W33*Calculator!$H$14),0)</f>
        <v>0</v>
      </c>
      <c r="I34" s="32">
        <f>IF(I33=0,IF(B34&gt;=Calculator!$H$7,Calculator!$H$12,0),I33*(1+Calculator!$H$6))</f>
        <v>0</v>
      </c>
      <c r="J34" s="34">
        <f>(D34*0.85+E34+H34+I34)*(1-Calculator!$H$5)+D34*0.15+(G34)*(1-Calculator!$H$4)+F34</f>
        <v>542216.461</v>
      </c>
      <c r="K34" s="38">
        <f t="shared" si="1"/>
        <v>646721.4377</v>
      </c>
      <c r="L34" s="38">
        <f t="shared" si="2"/>
        <v>551101.1122</v>
      </c>
      <c r="M34" s="38">
        <f>IF(B34=Calculator!$C$2,Calculator!$B$8,M33*(1+Calculator!$H$6))</f>
        <v>365966.0116</v>
      </c>
      <c r="N34" s="32"/>
      <c r="O34" s="34">
        <f t="shared" si="3"/>
        <v>365966.0116</v>
      </c>
      <c r="P34" s="34">
        <f t="shared" si="4"/>
        <v>185135.1006</v>
      </c>
      <c r="Q34" s="34">
        <f>IF(Calculator!$H$18="Y",Q33+IF(Q33&lt;0,Q33*Calculator!$H$2,Q33*Calculator!$H$3)+P34,0)</f>
        <v>0</v>
      </c>
      <c r="R34" s="35">
        <f t="shared" si="5"/>
        <v>14953474.53</v>
      </c>
      <c r="S34" s="37">
        <f t="shared" si="6"/>
        <v>14953474.53</v>
      </c>
      <c r="T34" s="35">
        <f>IF(B34&gt;=Calculator!$H$7,T33*(1+Calculator!$H$3)-E34,FV(Calculator!$H$1,B34+Calculator!$H$8-Calculator!$B$2, -Calculator!$C$17,-Calculator!$C$13))</f>
        <v>9977340.226</v>
      </c>
      <c r="U34" s="35">
        <f>IF(B34&gt;=Calculator!$H$7,U33*(1+Calculator!$H$3)-F34,FV(Calculator!$H$1,B34+Calculator!$H$8-Calculator!$B$2, -Calculator!$D$17,-Calculator!$D$13))</f>
        <v>952928.4455</v>
      </c>
      <c r="V34" s="35">
        <f>IF(B34&gt;=Calculator!$H$7,V33*(1+Calculator!$H$3)-G34,FV(Calculator!$H$1,B34+Calculator!$H$8-Calculator!$B$2, -Calculator!$E$17,-Calculator!$E$13))</f>
        <v>4000873.547</v>
      </c>
      <c r="W34" s="35">
        <f>IF(B34&gt;=Calculator!$H$7,W33*(1+Calculator!$H$3)-H34,FV(Calculator!$H$1,B34+Calculator!$H$8-Calculator!$B$2, -Calculator!$F$17,-Calculator!$F$13))+P34</f>
        <v>22332.30964</v>
      </c>
      <c r="X34" s="37">
        <f t="shared" si="12"/>
        <v>610419.4017</v>
      </c>
      <c r="Y34" s="37">
        <f>Y33*(1+Calculator!$H$6)</f>
        <v>84328.33526</v>
      </c>
      <c r="Z34" s="37">
        <f t="shared" si="8"/>
        <v>132317.7743</v>
      </c>
      <c r="AA34" s="37">
        <f t="shared" si="9"/>
        <v>478101.6274</v>
      </c>
      <c r="AB34" s="37">
        <f>AA34*Calculator!$H$5</f>
        <v>95620.32548</v>
      </c>
      <c r="AC34" s="37">
        <f t="shared" si="10"/>
        <v>12.87404597</v>
      </c>
      <c r="AD34" s="37">
        <f t="shared" si="13"/>
        <v>171692.6683</v>
      </c>
      <c r="AE34" s="36"/>
      <c r="AF34" s="36"/>
      <c r="AG34" s="36"/>
      <c r="AH34" s="36"/>
      <c r="AI34" s="36"/>
      <c r="AJ34" s="36"/>
      <c r="AK34" s="36"/>
    </row>
    <row r="35">
      <c r="A35" s="30">
        <v>2053.0</v>
      </c>
      <c r="B35" s="30">
        <f>A35-Calculator!$H$8</f>
        <v>80</v>
      </c>
      <c r="C35" s="36" t="str">
        <f>IF(Calculator!$H$15=B35,"Transfer",)</f>
        <v>Transfer</v>
      </c>
      <c r="D35" s="32">
        <f>IF(D34=0,IF(B35&gt;=Calculator!$H$10,Calculator!$H$11,0)*Calculator!$H$17,D34*(1+Calculator!$H$6))</f>
        <v>81032.66062</v>
      </c>
      <c r="E35" s="33">
        <f>IF(B35&gt;=Calculator!$H$9,T34*Calculator!$H$14,0)</f>
        <v>399093.6091</v>
      </c>
      <c r="F35" s="33">
        <f>IF(B35&gt;=Calculator!$H$9,U34*Calculator!$H$14,0)</f>
        <v>38117.13782</v>
      </c>
      <c r="G35" s="33">
        <f>IF(B35&gt;=Calculator!$H$7,V34*Calculator!$H$14,0)</f>
        <v>160034.9419</v>
      </c>
      <c r="H35" s="33">
        <f>IF(B35&gt;=Calculator!$H$7,IF(W34&lt;=0,0,W34*Calculator!$H$14),0)</f>
        <v>893.2923854</v>
      </c>
      <c r="I35" s="32">
        <f>IF(I34=0,IF(B35&gt;=Calculator!$H$7,Calculator!$H$12,0),I34*(1+Calculator!$H$6))</f>
        <v>0</v>
      </c>
      <c r="J35" s="34">
        <f>(D35*0.85+E35+H35+I35)*(1-Calculator!$H$5)+D35*0.15+(G35)*(1-Calculator!$H$4)+F35</f>
        <v>569395.215</v>
      </c>
      <c r="K35" s="38">
        <f t="shared" si="1"/>
        <v>679171.6417</v>
      </c>
      <c r="L35" s="38">
        <f t="shared" si="2"/>
        <v>578555.4421</v>
      </c>
      <c r="M35" s="38">
        <f>IF(B35=Calculator!$C$2,Calculator!$B$8,M34*(1+Calculator!$H$6))</f>
        <v>380604.6521</v>
      </c>
      <c r="N35" s="32"/>
      <c r="O35" s="34">
        <f t="shared" si="3"/>
        <v>380604.6521</v>
      </c>
      <c r="P35" s="34">
        <f t="shared" si="4"/>
        <v>197950.79</v>
      </c>
      <c r="Q35" s="34">
        <f>IF(Calculator!$H$18="Y",Q34+IF(Q34&lt;0,Q34*Calculator!$H$2,Q34*Calculator!$H$3)+P35,0)</f>
        <v>0</v>
      </c>
      <c r="R35" s="35">
        <f t="shared" si="5"/>
        <v>15899099.04</v>
      </c>
      <c r="S35" s="37">
        <f t="shared" si="6"/>
        <v>15899099.04</v>
      </c>
      <c r="T35" s="35">
        <f>IF(B35&gt;=Calculator!$H$7,T34*(1+Calculator!$H$3)-E35,FV(Calculator!$H$1,B35+Calculator!$H$8-Calculator!$B$2, -Calculator!$C$17,-Calculator!$C$13))</f>
        <v>10476207.24</v>
      </c>
      <c r="U35" s="35">
        <f>IF(B35&gt;=Calculator!$H$7,U34*(1+Calculator!$H$3)-F35,FV(Calculator!$H$1,B35+Calculator!$H$8-Calculator!$B$2, -Calculator!$D$17,-Calculator!$D$13))</f>
        <v>1000574.868</v>
      </c>
      <c r="V35" s="35">
        <f>IF(B35&gt;=Calculator!$H$7,V34*(1+Calculator!$H$3)-G35,FV(Calculator!$H$1,B35+Calculator!$H$8-Calculator!$B$2, -Calculator!$E$17,-Calculator!$E$13))</f>
        <v>4200917.224</v>
      </c>
      <c r="W35" s="35">
        <f>IF(B35&gt;=Calculator!$H$7,W34*(1+Calculator!$H$3)-H35,FV(Calculator!$H$1,B35+Calculator!$H$8-Calculator!$B$2, -Calculator!$F$17,-Calculator!$F$13))+P35</f>
        <v>221399.7151</v>
      </c>
      <c r="X35" s="37">
        <f t="shared" si="12"/>
        <v>641054.5039</v>
      </c>
      <c r="Y35" s="37">
        <f>Y34*(1+Calculator!$H$6)</f>
        <v>87701.46867</v>
      </c>
      <c r="Z35" s="37">
        <f t="shared" si="8"/>
        <v>137973.5056</v>
      </c>
      <c r="AA35" s="37">
        <f t="shared" si="9"/>
        <v>503080.9983</v>
      </c>
      <c r="AB35" s="37">
        <f>AA35*Calculator!$H$5</f>
        <v>100616.1997</v>
      </c>
      <c r="AC35" s="37">
        <f t="shared" si="10"/>
        <v>12.91560745</v>
      </c>
      <c r="AD35" s="37">
        <f t="shared" si="13"/>
        <v>199067.4055</v>
      </c>
      <c r="AE35" s="36"/>
      <c r="AF35" s="36"/>
      <c r="AG35" s="36"/>
      <c r="AH35" s="36"/>
      <c r="AI35" s="36"/>
      <c r="AJ35" s="36"/>
      <c r="AK35" s="36"/>
    </row>
    <row r="36">
      <c r="A36" s="30">
        <v>2054.0</v>
      </c>
      <c r="B36" s="30">
        <f>A36-Calculator!$H$8</f>
        <v>81</v>
      </c>
      <c r="C36" s="36" t="str">
        <f>IF(Calculator!$H$15=B36,"Transfer",)</f>
        <v/>
      </c>
      <c r="D36" s="32">
        <f>IF(D35=0,IF(B36&gt;=Calculator!$H$10,Calculator!$H$11,0)*Calculator!$H$17,D35*(1+Calculator!$H$6))</f>
        <v>84273.96704</v>
      </c>
      <c r="E36" s="33">
        <f>IF(B36&gt;=Calculator!$H$9,T35*Calculator!$H$14,0)</f>
        <v>419048.2895</v>
      </c>
      <c r="F36" s="33">
        <f>IF(B36&gt;=Calculator!$H$9,U35*Calculator!$H$14,0)</f>
        <v>40022.99471</v>
      </c>
      <c r="G36" s="33">
        <f>IF(B36&gt;=Calculator!$H$7,V35*Calculator!$H$14,0)</f>
        <v>168036.689</v>
      </c>
      <c r="H36" s="33">
        <f>IF(B36&gt;=Calculator!$H$7,IF(W35&lt;=0,0,W35*Calculator!$H$14),0)</f>
        <v>8855.988606</v>
      </c>
      <c r="I36" s="32">
        <f>IF(I35=0,IF(B36&gt;=Calculator!$H$7,Calculator!$H$12,0),I35*(1+Calculator!$H$6))</f>
        <v>0</v>
      </c>
      <c r="J36" s="34">
        <f>(D36*0.85+E36+H36+I36)*(1-Calculator!$H$5)+D36*0.15+(G36)*(1-Calculator!$H$4)+F36</f>
        <v>603526.8299</v>
      </c>
      <c r="K36" s="38">
        <f t="shared" si="1"/>
        <v>720237.9288</v>
      </c>
      <c r="L36" s="38">
        <f t="shared" si="2"/>
        <v>612969.6654</v>
      </c>
      <c r="M36" s="38">
        <f>IF(B36=Calculator!$C$2,Calculator!$B$8,M35*(1+Calculator!$H$6))</f>
        <v>395828.8381</v>
      </c>
      <c r="N36" s="32"/>
      <c r="O36" s="34">
        <f t="shared" si="3"/>
        <v>395828.8381</v>
      </c>
      <c r="P36" s="34">
        <f t="shared" si="4"/>
        <v>217140.8273</v>
      </c>
      <c r="Q36" s="34">
        <f>IF(Calculator!$H$18="Y",Q35+IF(Q35&lt;0,Q35*Calculator!$H$2,Q35*Calculator!$H$3)+P36,0)</f>
        <v>0</v>
      </c>
      <c r="R36" s="35">
        <f t="shared" si="5"/>
        <v>16911194.82</v>
      </c>
      <c r="S36" s="37">
        <f t="shared" si="6"/>
        <v>16911194.82</v>
      </c>
      <c r="T36" s="35">
        <f>IF(B36&gt;=Calculator!$H$7,T35*(1+Calculator!$H$3)-E36,FV(Calculator!$H$1,B36+Calculator!$H$8-Calculator!$B$2, -Calculator!$C$17,-Calculator!$C$13))</f>
        <v>11000017.6</v>
      </c>
      <c r="U36" s="35">
        <f>IF(B36&gt;=Calculator!$H$7,U35*(1+Calculator!$H$3)-F36,FV(Calculator!$H$1,B36+Calculator!$H$8-Calculator!$B$2, -Calculator!$D$17,-Calculator!$D$13))</f>
        <v>1050603.611</v>
      </c>
      <c r="V36" s="35">
        <f>IF(B36&gt;=Calculator!$H$7,V35*(1+Calculator!$H$3)-G36,FV(Calculator!$H$1,B36+Calculator!$H$8-Calculator!$B$2, -Calculator!$E$17,-Calculator!$E$13))</f>
        <v>4410963.085</v>
      </c>
      <c r="W36" s="35">
        <f>IF(B36&gt;=Calculator!$H$7,W35*(1+Calculator!$H$3)-H36,FV(Calculator!$H$1,B36+Calculator!$H$8-Calculator!$B$2, -Calculator!$F$17,-Calculator!$F$13))+P36</f>
        <v>449610.5282</v>
      </c>
      <c r="X36" s="37">
        <f t="shared" si="12"/>
        <v>680214.9341</v>
      </c>
      <c r="Y36" s="37">
        <f>Y35*(1+Calculator!$H$6)</f>
        <v>91209.52742</v>
      </c>
      <c r="Z36" s="37">
        <f t="shared" si="8"/>
        <v>143873.6172</v>
      </c>
      <c r="AA36" s="37">
        <f t="shared" si="9"/>
        <v>536341.3169</v>
      </c>
      <c r="AB36" s="37">
        <f>AA36*Calculator!$H$5</f>
        <v>107268.2634</v>
      </c>
      <c r="AC36" s="37">
        <f t="shared" si="10"/>
        <v>13.0165943</v>
      </c>
      <c r="AD36" s="37">
        <f t="shared" si="13"/>
        <v>228210.8131</v>
      </c>
      <c r="AE36" s="36"/>
      <c r="AF36" s="36"/>
      <c r="AG36" s="36"/>
      <c r="AH36" s="36"/>
      <c r="AI36" s="36"/>
      <c r="AJ36" s="36"/>
      <c r="AK36" s="36"/>
    </row>
    <row r="37">
      <c r="A37" s="30">
        <v>2055.0</v>
      </c>
      <c r="B37" s="30">
        <f>A37-Calculator!$H$8</f>
        <v>82</v>
      </c>
      <c r="C37" s="36" t="str">
        <f>IF(Calculator!$H$15=B37,"Transfer",)</f>
        <v/>
      </c>
      <c r="D37" s="32">
        <f>IF(D36=0,IF(B37&gt;=Calculator!$H$10,Calculator!$H$11,0)*Calculator!$H$17,D36*(1+Calculator!$H$6))</f>
        <v>87644.92572</v>
      </c>
      <c r="E37" s="33">
        <f>IF(B37&gt;=Calculator!$H$9,T36*Calculator!$H$14,0)</f>
        <v>440000.704</v>
      </c>
      <c r="F37" s="33">
        <f>IF(B37&gt;=Calculator!$H$9,U36*Calculator!$H$14,0)</f>
        <v>42024.14445</v>
      </c>
      <c r="G37" s="33">
        <f>IF(B37&gt;=Calculator!$H$7,V36*Calculator!$H$14,0)</f>
        <v>176438.5234</v>
      </c>
      <c r="H37" s="33">
        <f>IF(B37&gt;=Calculator!$H$7,IF(W36&lt;=0,0,W36*Calculator!$H$14),0)</f>
        <v>17984.42113</v>
      </c>
      <c r="I37" s="32">
        <f>IF(I36=0,IF(B37&gt;=Calculator!$H$7,Calculator!$H$12,0),I36*(1+Calculator!$H$6))</f>
        <v>0</v>
      </c>
      <c r="J37" s="34">
        <f>(D37*0.85+E37+H37+I37)*(1-Calculator!$H$5)+D37*0.15+(G37)*(1-Calculator!$H$4)+F37</f>
        <v>639952.204</v>
      </c>
      <c r="K37" s="38">
        <f t="shared" si="1"/>
        <v>764092.7187</v>
      </c>
      <c r="L37" s="38">
        <f t="shared" si="2"/>
        <v>649684.7622</v>
      </c>
      <c r="M37" s="38">
        <f>IF(B37=Calculator!$C$2,Calculator!$B$8,M36*(1+Calculator!$H$6))</f>
        <v>411661.9917</v>
      </c>
      <c r="N37" s="32"/>
      <c r="O37" s="34">
        <f t="shared" si="3"/>
        <v>411661.9917</v>
      </c>
      <c r="P37" s="34">
        <f t="shared" si="4"/>
        <v>238022.7706</v>
      </c>
      <c r="Q37" s="34">
        <f>IF(Calculator!$H$18="Y",Q36+IF(Q36&lt;0,Q36*Calculator!$H$2,Q36*Calculator!$H$3)+P37,0)</f>
        <v>0</v>
      </c>
      <c r="R37" s="35">
        <f t="shared" si="5"/>
        <v>17994777.34</v>
      </c>
      <c r="S37" s="37">
        <f t="shared" si="6"/>
        <v>17994777.34</v>
      </c>
      <c r="T37" s="35">
        <f>IF(B37&gt;=Calculator!$H$7,T36*(1+Calculator!$H$3)-E37,FV(Calculator!$H$1,B37+Calculator!$H$8-Calculator!$B$2, -Calculator!$C$17,-Calculator!$C$13))</f>
        <v>11550018.48</v>
      </c>
      <c r="U37" s="35">
        <f>IF(B37&gt;=Calculator!$H$7,U36*(1+Calculator!$H$3)-F37,FV(Calculator!$H$1,B37+Calculator!$H$8-Calculator!$B$2, -Calculator!$D$17,-Calculator!$D$13))</f>
        <v>1103133.792</v>
      </c>
      <c r="V37" s="35">
        <f>IF(B37&gt;=Calculator!$H$7,V36*(1+Calculator!$H$3)-G37,FV(Calculator!$H$1,B37+Calculator!$H$8-Calculator!$B$2, -Calculator!$E$17,-Calculator!$E$13))</f>
        <v>4631511.24</v>
      </c>
      <c r="W37" s="35">
        <f>IF(B37&gt;=Calculator!$H$7,W36*(1+Calculator!$H$3)-H37,FV(Calculator!$H$1,B37+Calculator!$H$8-Calculator!$B$2, -Calculator!$F$17,-Calculator!$F$13))+P37</f>
        <v>710113.8252</v>
      </c>
      <c r="X37" s="37">
        <f t="shared" si="12"/>
        <v>722068.5742</v>
      </c>
      <c r="Y37" s="37">
        <f>Y36*(1+Calculator!$H$6)</f>
        <v>94857.90851</v>
      </c>
      <c r="Z37" s="37">
        <f t="shared" si="8"/>
        <v>150028.7918</v>
      </c>
      <c r="AA37" s="37">
        <f t="shared" si="9"/>
        <v>572039.7824</v>
      </c>
      <c r="AB37" s="37">
        <f>AA37*Calculator!$H$5</f>
        <v>114407.9565</v>
      </c>
      <c r="AC37" s="37">
        <f t="shared" si="10"/>
        <v>13.11871368</v>
      </c>
      <c r="AD37" s="37">
        <f t="shared" si="13"/>
        <v>260503.297</v>
      </c>
      <c r="AE37" s="36"/>
      <c r="AF37" s="36"/>
      <c r="AG37" s="36"/>
      <c r="AH37" s="36"/>
      <c r="AI37" s="36"/>
      <c r="AJ37" s="36"/>
      <c r="AK37" s="36"/>
    </row>
    <row r="38">
      <c r="A38" s="30">
        <v>2056.0</v>
      </c>
      <c r="B38" s="30">
        <f>A38-Calculator!$H$8</f>
        <v>83</v>
      </c>
      <c r="C38" s="36" t="str">
        <f>IF(Calculator!$H$15=B38,"Transfer",)</f>
        <v/>
      </c>
      <c r="D38" s="32">
        <f>IF(D37=0,IF(B38&gt;=Calculator!$H$10,Calculator!$H$11,0)*Calculator!$H$17,D37*(1+Calculator!$H$6))</f>
        <v>91150.72275</v>
      </c>
      <c r="E38" s="33">
        <f>IF(B38&gt;=Calculator!$H$9,T37*Calculator!$H$14,0)</f>
        <v>462000.7392</v>
      </c>
      <c r="F38" s="33">
        <f>IF(B38&gt;=Calculator!$H$9,U37*Calculator!$H$14,0)</f>
        <v>44125.35167</v>
      </c>
      <c r="G38" s="33">
        <f>IF(B38&gt;=Calculator!$H$7,V37*Calculator!$H$14,0)</f>
        <v>185260.4496</v>
      </c>
      <c r="H38" s="33">
        <f>IF(B38&gt;=Calculator!$H$7,IF(W37&lt;=0,0,W37*Calculator!$H$14),0)</f>
        <v>28404.55301</v>
      </c>
      <c r="I38" s="32">
        <f>IF(I37=0,IF(B38&gt;=Calculator!$H$7,Calculator!$H$12,0),I37*(1+Calculator!$H$6))</f>
        <v>0</v>
      </c>
      <c r="J38" s="34">
        <f>(D38*0.85+E38+H38+I38)*(1-Calculator!$H$5)+D38*0.15+(G38)*(1-Calculator!$H$4)+F38</f>
        <v>678839.0899</v>
      </c>
      <c r="K38" s="38">
        <f t="shared" si="1"/>
        <v>810941.8162</v>
      </c>
      <c r="L38" s="38">
        <f t="shared" si="2"/>
        <v>688868.5603</v>
      </c>
      <c r="M38" s="38">
        <f>IF(B38=Calculator!$C$2,Calculator!$B$8,M37*(1+Calculator!$H$6))</f>
        <v>428128.4713</v>
      </c>
      <c r="N38" s="32"/>
      <c r="O38" s="34">
        <f t="shared" si="3"/>
        <v>428128.4713</v>
      </c>
      <c r="P38" s="34">
        <f t="shared" si="4"/>
        <v>260740.089</v>
      </c>
      <c r="Q38" s="34">
        <f>IF(Calculator!$H$18="Y",Q37+IF(Q37&lt;0,Q37*Calculator!$H$2,Q37*Calculator!$H$3)+P38,0)</f>
        <v>0</v>
      </c>
      <c r="R38" s="35">
        <f t="shared" si="5"/>
        <v>19155256.29</v>
      </c>
      <c r="S38" s="37">
        <f t="shared" si="6"/>
        <v>19155256.29</v>
      </c>
      <c r="T38" s="35">
        <f>IF(B38&gt;=Calculator!$H$7,T37*(1+Calculator!$H$3)-E38,FV(Calculator!$H$1,B38+Calculator!$H$8-Calculator!$B$2, -Calculator!$C$17,-Calculator!$C$13))</f>
        <v>12127519.4</v>
      </c>
      <c r="U38" s="35">
        <f>IF(B38&gt;=Calculator!$H$7,U37*(1+Calculator!$H$3)-F38,FV(Calculator!$H$1,B38+Calculator!$H$8-Calculator!$B$2, -Calculator!$D$17,-Calculator!$D$13))</f>
        <v>1158290.481</v>
      </c>
      <c r="V38" s="35">
        <f>IF(B38&gt;=Calculator!$H$7,V37*(1+Calculator!$H$3)-G38,FV(Calculator!$H$1,B38+Calculator!$H$8-Calculator!$B$2, -Calculator!$E$17,-Calculator!$E$13))</f>
        <v>4863086.802</v>
      </c>
      <c r="W38" s="35">
        <f>IF(B38&gt;=Calculator!$H$7,W37*(1+Calculator!$H$3)-H38,FV(Calculator!$H$1,B38+Calculator!$H$8-Calculator!$B$2, -Calculator!$F$17,-Calculator!$F$13))+P38</f>
        <v>1006359.605</v>
      </c>
      <c r="X38" s="37">
        <f t="shared" si="12"/>
        <v>766816.4645</v>
      </c>
      <c r="Y38" s="37">
        <f>Y37*(1+Calculator!$H$6)</f>
        <v>98652.22486</v>
      </c>
      <c r="Z38" s="37">
        <f t="shared" si="8"/>
        <v>156450.1849</v>
      </c>
      <c r="AA38" s="37">
        <f t="shared" si="9"/>
        <v>610366.2796</v>
      </c>
      <c r="AB38" s="37">
        <f>AA38*Calculator!$H$5</f>
        <v>122073.2559</v>
      </c>
      <c r="AC38" s="37">
        <f t="shared" si="10"/>
        <v>13.22188514</v>
      </c>
      <c r="AD38" s="37">
        <f t="shared" si="13"/>
        <v>296245.7802</v>
      </c>
      <c r="AE38" s="36"/>
      <c r="AF38" s="36"/>
      <c r="AG38" s="36"/>
      <c r="AH38" s="36"/>
      <c r="AI38" s="36"/>
      <c r="AJ38" s="36"/>
      <c r="AK38" s="36"/>
    </row>
    <row r="39">
      <c r="A39" s="30">
        <v>2057.0</v>
      </c>
      <c r="B39" s="30">
        <f>A39-Calculator!$H$8</f>
        <v>84</v>
      </c>
      <c r="C39" s="36" t="str">
        <f>IF(Calculator!$H$15=B39,"Transfer",)</f>
        <v/>
      </c>
      <c r="D39" s="32">
        <f>IF(D38=0,IF(B39&gt;=Calculator!$H$10,Calculator!$H$11,0)*Calculator!$H$17,D38*(1+Calculator!$H$6))</f>
        <v>94796.75166</v>
      </c>
      <c r="E39" s="33">
        <f>IF(B39&gt;=Calculator!$H$9,T38*Calculator!$H$14,0)</f>
        <v>485100.7761</v>
      </c>
      <c r="F39" s="33">
        <f>IF(B39&gt;=Calculator!$H$9,U38*Calculator!$H$14,0)</f>
        <v>46331.61925</v>
      </c>
      <c r="G39" s="33">
        <f>IF(B39&gt;=Calculator!$H$7,V38*Calculator!$H$14,0)</f>
        <v>194523.4721</v>
      </c>
      <c r="H39" s="33">
        <f>IF(B39&gt;=Calculator!$H$7,IF(W38&lt;=0,0,W38*Calculator!$H$14),0)</f>
        <v>40254.38422</v>
      </c>
      <c r="I39" s="32">
        <f>IF(I38=0,IF(B39&gt;=Calculator!$H$7,Calculator!$H$12,0),I38*(1+Calculator!$H$6))</f>
        <v>0</v>
      </c>
      <c r="J39" s="34">
        <f>(D39*0.85+E39+H39+I39)*(1-Calculator!$H$5)+D39*0.15+(G39)*(1-Calculator!$H$4)+F39</f>
        <v>720368.1763</v>
      </c>
      <c r="K39" s="38">
        <f t="shared" si="1"/>
        <v>861007.0033</v>
      </c>
      <c r="L39" s="38">
        <f t="shared" si="2"/>
        <v>730701.8157</v>
      </c>
      <c r="M39" s="38">
        <f>IF(B39=Calculator!$C$2,Calculator!$B$8,M38*(1+Calculator!$H$6))</f>
        <v>445253.6102</v>
      </c>
      <c r="N39" s="32"/>
      <c r="O39" s="34">
        <f t="shared" si="3"/>
        <v>445253.6102</v>
      </c>
      <c r="P39" s="34">
        <f t="shared" si="4"/>
        <v>285448.2055</v>
      </c>
      <c r="Q39" s="34">
        <f>IF(Calculator!$H$18="Y",Q38+IF(Q38&lt;0,Q38*Calculator!$H$2,Q38*Calculator!$H$3)+P39,0)</f>
        <v>0</v>
      </c>
      <c r="R39" s="35">
        <f t="shared" si="5"/>
        <v>20398467.31</v>
      </c>
      <c r="S39" s="37">
        <f t="shared" si="6"/>
        <v>20398467.31</v>
      </c>
      <c r="T39" s="35">
        <f>IF(B39&gt;=Calculator!$H$7,T38*(1+Calculator!$H$3)-E39,FV(Calculator!$H$1,B39+Calculator!$H$8-Calculator!$B$2, -Calculator!$C$17,-Calculator!$C$13))</f>
        <v>12733895.37</v>
      </c>
      <c r="U39" s="35">
        <f>IF(B39&gt;=Calculator!$H$7,U38*(1+Calculator!$H$3)-F39,FV(Calculator!$H$1,B39+Calculator!$H$8-Calculator!$B$2, -Calculator!$D$17,-Calculator!$D$13))</f>
        <v>1216205.005</v>
      </c>
      <c r="V39" s="35">
        <f>IF(B39&gt;=Calculator!$H$7,V38*(1+Calculator!$H$3)-G39,FV(Calculator!$H$1,B39+Calculator!$H$8-Calculator!$B$2, -Calculator!$E$17,-Calculator!$E$13))</f>
        <v>5106241.142</v>
      </c>
      <c r="W39" s="35">
        <f>IF(B39&gt;=Calculator!$H$7,W38*(1+Calculator!$H$3)-H39,FV(Calculator!$H$1,B39+Calculator!$H$8-Calculator!$B$2, -Calculator!$F$17,-Calculator!$F$13))+P39</f>
        <v>1342125.791</v>
      </c>
      <c r="X39" s="37">
        <f t="shared" si="12"/>
        <v>814675.3841</v>
      </c>
      <c r="Y39" s="37">
        <f>Y38*(1+Calculator!$H$6)</f>
        <v>102598.3138</v>
      </c>
      <c r="Z39" s="37">
        <f t="shared" si="8"/>
        <v>163149.4458</v>
      </c>
      <c r="AA39" s="37">
        <f t="shared" si="9"/>
        <v>651525.9382</v>
      </c>
      <c r="AB39" s="37">
        <f>AA39*Calculator!$H$5</f>
        <v>130305.1876</v>
      </c>
      <c r="AC39" s="37">
        <f t="shared" si="10"/>
        <v>13.32602565</v>
      </c>
      <c r="AD39" s="37">
        <f t="shared" si="13"/>
        <v>335766.1858</v>
      </c>
      <c r="AE39" s="36"/>
      <c r="AF39" s="36"/>
      <c r="AG39" s="36"/>
      <c r="AH39" s="36"/>
      <c r="AI39" s="36"/>
      <c r="AJ39" s="36"/>
      <c r="AK39" s="36"/>
    </row>
    <row r="40">
      <c r="A40" s="30">
        <v>2058.0</v>
      </c>
      <c r="B40" s="30">
        <f>A40-Calculator!$H$8</f>
        <v>85</v>
      </c>
      <c r="C40" s="36" t="str">
        <f>IF(Calculator!$H$15=B40,"Transfer",)</f>
        <v/>
      </c>
      <c r="D40" s="32">
        <f>IF(D39=0,IF(B40&gt;=Calculator!$H$10,Calculator!$H$11,0)*Calculator!$H$17,D39*(1+Calculator!$H$6))</f>
        <v>98588.62173</v>
      </c>
      <c r="E40" s="33">
        <f>IF(B40&gt;=Calculator!$H$9,T39*Calculator!$H$14,0)</f>
        <v>509355.8149</v>
      </c>
      <c r="F40" s="33">
        <f>IF(B40&gt;=Calculator!$H$9,U39*Calculator!$H$14,0)</f>
        <v>48648.20021</v>
      </c>
      <c r="G40" s="33">
        <f>IF(B40&gt;=Calculator!$H$7,V39*Calculator!$H$14,0)</f>
        <v>204249.6457</v>
      </c>
      <c r="H40" s="33">
        <f>IF(B40&gt;=Calculator!$H$7,IF(W39&lt;=0,0,W39*Calculator!$H$14),0)</f>
        <v>53685.03165</v>
      </c>
      <c r="I40" s="32">
        <f>IF(I39=0,IF(B40&gt;=Calculator!$H$7,Calculator!$H$12,0),I39*(1+Calculator!$H$6))</f>
        <v>0</v>
      </c>
      <c r="J40" s="34">
        <f>(D40*0.85+E40+H40+I40)*(1-Calculator!$H$5)+D40*0.15+(G40)*(1-Calculator!$H$4)+F40</f>
        <v>764734.1146</v>
      </c>
      <c r="K40" s="38">
        <f t="shared" si="1"/>
        <v>914527.3142</v>
      </c>
      <c r="L40" s="38">
        <f t="shared" si="2"/>
        <v>775379.2394</v>
      </c>
      <c r="M40" s="38">
        <f>IF(B40=Calculator!$C$2,Calculator!$B$8,M39*(1+Calculator!$H$6))</f>
        <v>463063.7546</v>
      </c>
      <c r="N40" s="32"/>
      <c r="O40" s="34">
        <f t="shared" si="3"/>
        <v>463063.7546</v>
      </c>
      <c r="P40" s="34">
        <f t="shared" si="4"/>
        <v>312315.4848</v>
      </c>
      <c r="Q40" s="34">
        <f>IF(Calculator!$H$18="Y",Q39+IF(Q39&lt;0,Q39*Calculator!$H$2,Q39*Calculator!$H$3)+P40,0)</f>
        <v>0</v>
      </c>
      <c r="R40" s="35">
        <f t="shared" si="5"/>
        <v>21730706.16</v>
      </c>
      <c r="S40" s="37">
        <f t="shared" si="6"/>
        <v>21730706.16</v>
      </c>
      <c r="T40" s="35">
        <f>IF(B40&gt;=Calculator!$H$7,T39*(1+Calculator!$H$3)-E40,FV(Calculator!$H$1,B40+Calculator!$H$8-Calculator!$B$2, -Calculator!$C$17,-Calculator!$C$13))</f>
        <v>13370590.14</v>
      </c>
      <c r="U40" s="35">
        <f>IF(B40&gt;=Calculator!$H$7,U39*(1+Calculator!$H$3)-F40,FV(Calculator!$H$1,B40+Calculator!$H$8-Calculator!$B$2, -Calculator!$D$17,-Calculator!$D$13))</f>
        <v>1277015.256</v>
      </c>
      <c r="V40" s="35">
        <f>IF(B40&gt;=Calculator!$H$7,V39*(1+Calculator!$H$3)-G40,FV(Calculator!$H$1,B40+Calculator!$H$8-Calculator!$B$2, -Calculator!$E$17,-Calculator!$E$13))</f>
        <v>5361553.199</v>
      </c>
      <c r="W40" s="35">
        <f>IF(B40&gt;=Calculator!$H$7,W39*(1+Calculator!$H$3)-H40,FV(Calculator!$H$1,B40+Calculator!$H$8-Calculator!$B$2, -Calculator!$F$17,-Calculator!$F$13))+P40</f>
        <v>1721547.566</v>
      </c>
      <c r="X40" s="37">
        <f t="shared" si="12"/>
        <v>865879.114</v>
      </c>
      <c r="Y40" s="37">
        <f>Y39*(1+Calculator!$H$6)</f>
        <v>106702.2464</v>
      </c>
      <c r="Z40" s="37">
        <f t="shared" si="8"/>
        <v>170138.7399</v>
      </c>
      <c r="AA40" s="37">
        <f t="shared" si="9"/>
        <v>695740.3741</v>
      </c>
      <c r="AB40" s="37">
        <f>AA40*Calculator!$H$5</f>
        <v>139148.0748</v>
      </c>
      <c r="AC40" s="37">
        <f t="shared" si="10"/>
        <v>13.43104989</v>
      </c>
      <c r="AD40" s="37">
        <f t="shared" si="13"/>
        <v>379421.7744</v>
      </c>
      <c r="AE40" s="36"/>
      <c r="AF40" s="36"/>
      <c r="AG40" s="36"/>
      <c r="AH40" s="36"/>
      <c r="AI40" s="36"/>
      <c r="AJ40" s="36"/>
      <c r="AK40" s="36"/>
    </row>
    <row r="41">
      <c r="A41" s="30">
        <v>2059.0</v>
      </c>
      <c r="B41" s="30">
        <f>A41-Calculator!$H$8</f>
        <v>86</v>
      </c>
      <c r="C41" s="36" t="str">
        <f>IF(Calculator!$H$15=B41,"Transfer",)</f>
        <v/>
      </c>
      <c r="D41" s="32">
        <f>IF(D40=0,IF(B41&gt;=Calculator!$H$10,Calculator!$H$11,0)*Calculator!$H$17,D40*(1+Calculator!$H$6))</f>
        <v>102532.1666</v>
      </c>
      <c r="E41" s="33">
        <f>IF(B41&gt;=Calculator!$H$9,T40*Calculator!$H$14,0)</f>
        <v>534823.6057</v>
      </c>
      <c r="F41" s="33">
        <f>IF(B41&gt;=Calculator!$H$9,U40*Calculator!$H$14,0)</f>
        <v>51080.61022</v>
      </c>
      <c r="G41" s="33">
        <f>IF(B41&gt;=Calculator!$H$7,V40*Calculator!$H$14,0)</f>
        <v>214462.128</v>
      </c>
      <c r="H41" s="33">
        <f>IF(B41&gt;=Calculator!$H$7,IF(W40&lt;=0,0,W40*Calculator!$H$14),0)</f>
        <v>68861.90262</v>
      </c>
      <c r="I41" s="32">
        <f>IF(I40=0,IF(B41&gt;=Calculator!$H$7,Calculator!$H$12,0),I40*(1+Calculator!$H$6))</f>
        <v>0</v>
      </c>
      <c r="J41" s="34">
        <f>(D41*0.85+E41+H41+I41)*(1-Calculator!$H$5)+D41*0.15+(G41)*(1-Calculator!$H$4)+F41</f>
        <v>812146.6303</v>
      </c>
      <c r="K41" s="38">
        <f t="shared" si="1"/>
        <v>971760.4131</v>
      </c>
      <c r="L41" s="38">
        <f t="shared" si="2"/>
        <v>823110.6068</v>
      </c>
      <c r="M41" s="38">
        <f>IF(B41=Calculator!$C$2,Calculator!$B$8,M40*(1+Calculator!$H$6))</f>
        <v>481586.3048</v>
      </c>
      <c r="N41" s="32"/>
      <c r="O41" s="34">
        <f t="shared" si="3"/>
        <v>481586.3048</v>
      </c>
      <c r="P41" s="34">
        <f t="shared" si="4"/>
        <v>341524.302</v>
      </c>
      <c r="Q41" s="34">
        <f>IF(Calculator!$H$18="Y",Q40+IF(Q40&lt;0,Q40*Calculator!$H$2,Q40*Calculator!$H$3)+P41,0)</f>
        <v>0</v>
      </c>
      <c r="R41" s="35">
        <f t="shared" si="5"/>
        <v>23158765.77</v>
      </c>
      <c r="S41" s="37">
        <f t="shared" si="6"/>
        <v>23158765.77</v>
      </c>
      <c r="T41" s="35">
        <f>IF(B41&gt;=Calculator!$H$7,T40*(1+Calculator!$H$3)-E41,FV(Calculator!$H$1,B41+Calculator!$H$8-Calculator!$B$2, -Calculator!$C$17,-Calculator!$C$13))</f>
        <v>14039119.65</v>
      </c>
      <c r="U41" s="35">
        <f>IF(B41&gt;=Calculator!$H$7,U40*(1+Calculator!$H$3)-F41,FV(Calculator!$H$1,B41+Calculator!$H$8-Calculator!$B$2, -Calculator!$D$17,-Calculator!$D$13))</f>
        <v>1340866.018</v>
      </c>
      <c r="V41" s="35">
        <f>IF(B41&gt;=Calculator!$H$7,V40*(1+Calculator!$H$3)-G41,FV(Calculator!$H$1,B41+Calculator!$H$8-Calculator!$B$2, -Calculator!$E$17,-Calculator!$E$13))</f>
        <v>5629630.859</v>
      </c>
      <c r="W41" s="35">
        <f>IF(B41&gt;=Calculator!$H$7,W40*(1+Calculator!$H$3)-H41,FV(Calculator!$H$1,B41+Calculator!$H$8-Calculator!$B$2, -Calculator!$F$17,-Calculator!$F$13))+P41</f>
        <v>2149149.246</v>
      </c>
      <c r="X41" s="37">
        <f t="shared" si="12"/>
        <v>920679.8029</v>
      </c>
      <c r="Y41" s="37">
        <f>Y40*(1+Calculator!$H$6)</f>
        <v>110970.3363</v>
      </c>
      <c r="Z41" s="37">
        <f t="shared" si="8"/>
        <v>177430.7715</v>
      </c>
      <c r="AA41" s="37">
        <f t="shared" si="9"/>
        <v>743249.0314</v>
      </c>
      <c r="AB41" s="37">
        <f>AA41*Calculator!$H$5</f>
        <v>148649.8063</v>
      </c>
      <c r="AC41" s="37">
        <f t="shared" si="10"/>
        <v>13.53687049</v>
      </c>
      <c r="AD41" s="37">
        <f t="shared" si="13"/>
        <v>427601.6803</v>
      </c>
      <c r="AE41" s="36"/>
      <c r="AF41" s="36"/>
      <c r="AG41" s="36"/>
      <c r="AH41" s="36"/>
      <c r="AI41" s="36"/>
      <c r="AJ41" s="36"/>
      <c r="AK41" s="36"/>
    </row>
    <row r="42">
      <c r="A42" s="30">
        <v>2060.0</v>
      </c>
      <c r="B42" s="30">
        <f>A42-Calculator!$H$8</f>
        <v>87</v>
      </c>
      <c r="C42" s="36" t="str">
        <f>IF(Calculator!$H$15=B42,"Transfer",)</f>
        <v/>
      </c>
      <c r="D42" s="32">
        <f>IF(D41=0,IF(B42&gt;=Calculator!$H$10,Calculator!$H$11,0)*Calculator!$H$17,D41*(1+Calculator!$H$6))</f>
        <v>106633.4533</v>
      </c>
      <c r="E42" s="33">
        <f>IF(B42&gt;=Calculator!$H$9,T41*Calculator!$H$14,0)</f>
        <v>561564.786</v>
      </c>
      <c r="F42" s="33">
        <f>IF(B42&gt;=Calculator!$H$9,U41*Calculator!$H$14,0)</f>
        <v>53634.64074</v>
      </c>
      <c r="G42" s="33">
        <f>IF(B42&gt;=Calculator!$H$7,V41*Calculator!$H$14,0)</f>
        <v>225185.2344</v>
      </c>
      <c r="H42" s="33">
        <f>IF(B42&gt;=Calculator!$H$7,IF(W41&lt;=0,0,W41*Calculator!$H$14),0)</f>
        <v>85965.96983</v>
      </c>
      <c r="I42" s="32">
        <f>IF(I41=0,IF(B42&gt;=Calculator!$H$7,Calculator!$H$12,0),I41*(1+Calculator!$H$6))</f>
        <v>0</v>
      </c>
      <c r="J42" s="34">
        <f>(D42*0.85+E42+H42+I42)*(1-Calculator!$H$5)+D42*0.15+(G42)*(1-Calculator!$H$4)+F42</f>
        <v>862831.7225</v>
      </c>
      <c r="K42" s="38">
        <f t="shared" si="1"/>
        <v>1032984.084</v>
      </c>
      <c r="L42" s="38">
        <f t="shared" si="2"/>
        <v>874121.9572</v>
      </c>
      <c r="M42" s="38">
        <f>IF(B42=Calculator!$C$2,Calculator!$B$8,M41*(1+Calculator!$H$6))</f>
        <v>500849.757</v>
      </c>
      <c r="N42" s="32"/>
      <c r="O42" s="34">
        <f t="shared" si="3"/>
        <v>500849.757</v>
      </c>
      <c r="P42" s="34">
        <f t="shared" si="4"/>
        <v>373272.2002</v>
      </c>
      <c r="Q42" s="34">
        <f>IF(Calculator!$H$18="Y",Q41+IF(Q41&lt;0,Q41*Calculator!$H$2,Q41*Calculator!$H$3)+P42,0)</f>
        <v>0</v>
      </c>
      <c r="R42" s="35">
        <f t="shared" si="5"/>
        <v>24689976.26</v>
      </c>
      <c r="S42" s="37">
        <f t="shared" si="6"/>
        <v>24689976.26</v>
      </c>
      <c r="T42" s="35">
        <f>IF(B42&gt;=Calculator!$H$7,T41*(1+Calculator!$H$3)-E42,FV(Calculator!$H$1,B42+Calculator!$H$8-Calculator!$B$2, -Calculator!$C$17,-Calculator!$C$13))</f>
        <v>14741075.63</v>
      </c>
      <c r="U42" s="35">
        <f>IF(B42&gt;=Calculator!$H$7,U41*(1+Calculator!$H$3)-F42,FV(Calculator!$H$1,B42+Calculator!$H$8-Calculator!$B$2, -Calculator!$D$17,-Calculator!$D$13))</f>
        <v>1407909.319</v>
      </c>
      <c r="V42" s="35">
        <f>IF(B42&gt;=Calculator!$H$7,V41*(1+Calculator!$H$3)-G42,FV(Calculator!$H$1,B42+Calculator!$H$8-Calculator!$B$2, -Calculator!$E$17,-Calculator!$E$13))</f>
        <v>5911112.402</v>
      </c>
      <c r="W42" s="35">
        <f>IF(B42&gt;=Calculator!$H$7,W41*(1+Calculator!$H$3)-H42,FV(Calculator!$H$1,B42+Calculator!$H$8-Calculator!$B$2, -Calculator!$F$17,-Calculator!$F$13))+P42</f>
        <v>2629878.908</v>
      </c>
      <c r="X42" s="37">
        <f t="shared" si="12"/>
        <v>979349.4434</v>
      </c>
      <c r="Y42" s="37">
        <f>Y41*(1+Calculator!$H$6)</f>
        <v>115409.1497</v>
      </c>
      <c r="Z42" s="37">
        <f t="shared" si="8"/>
        <v>185038.8084</v>
      </c>
      <c r="AA42" s="37">
        <f t="shared" si="9"/>
        <v>794310.635</v>
      </c>
      <c r="AB42" s="37">
        <f>AA42*Calculator!$H$5</f>
        <v>158862.127</v>
      </c>
      <c r="AC42" s="37">
        <f t="shared" si="10"/>
        <v>13.6433983</v>
      </c>
      <c r="AD42" s="37">
        <f t="shared" si="13"/>
        <v>480729.6625</v>
      </c>
      <c r="AE42" s="36"/>
      <c r="AF42" s="36"/>
      <c r="AG42" s="36"/>
      <c r="AH42" s="36"/>
      <c r="AI42" s="36"/>
      <c r="AJ42" s="36"/>
      <c r="AK42" s="36"/>
    </row>
    <row r="43">
      <c r="A43" s="30">
        <v>2061.0</v>
      </c>
      <c r="B43" s="30">
        <f>A43-Calculator!$H$8</f>
        <v>88</v>
      </c>
      <c r="C43" s="36" t="str">
        <f>IF(Calculator!$H$15=B43,"Transfer",)</f>
        <v/>
      </c>
      <c r="D43" s="32">
        <f>IF(D42=0,IF(B43&gt;=Calculator!$H$10,Calculator!$H$11,0)*Calculator!$H$17,D42*(1+Calculator!$H$6))</f>
        <v>110898.7914</v>
      </c>
      <c r="E43" s="33">
        <f>IF(B43&gt;=Calculator!$H$9,T42*Calculator!$H$14,0)</f>
        <v>589643.0253</v>
      </c>
      <c r="F43" s="33">
        <f>IF(B43&gt;=Calculator!$H$9,U42*Calculator!$H$14,0)</f>
        <v>56316.37277</v>
      </c>
      <c r="G43" s="33">
        <f>IF(B43&gt;=Calculator!$H$7,V42*Calculator!$H$14,0)</f>
        <v>236444.4961</v>
      </c>
      <c r="H43" s="33">
        <f>IF(B43&gt;=Calculator!$H$7,IF(W42&lt;=0,0,W42*Calculator!$H$14),0)</f>
        <v>105195.1563</v>
      </c>
      <c r="I43" s="32">
        <f>IF(I42=0,IF(B43&gt;=Calculator!$H$7,Calculator!$H$12,0),I42*(1+Calculator!$H$6))</f>
        <v>0</v>
      </c>
      <c r="J43" s="34">
        <f>(D43*0.85+E43+H43+I43)*(1-Calculator!$H$5)+D43*0.15+(G43)*(1-Calculator!$H$4)+F43</f>
        <v>917032.9614</v>
      </c>
      <c r="K43" s="38">
        <f t="shared" si="1"/>
        <v>1098497.842</v>
      </c>
      <c r="L43" s="38">
        <f t="shared" si="2"/>
        <v>928656.8895</v>
      </c>
      <c r="M43" s="38">
        <f>IF(B43=Calculator!$C$2,Calculator!$B$8,M42*(1+Calculator!$H$6))</f>
        <v>520883.7472</v>
      </c>
      <c r="N43" s="32"/>
      <c r="O43" s="34">
        <f t="shared" si="3"/>
        <v>520883.7472</v>
      </c>
      <c r="P43" s="34">
        <f t="shared" si="4"/>
        <v>407773.1422</v>
      </c>
      <c r="Q43" s="34">
        <f>IF(Calculator!$H$18="Y",Q42+IF(Q42&lt;0,Q42*Calculator!$H$2,Q42*Calculator!$H$3)+P43,0)</f>
        <v>0</v>
      </c>
      <c r="R43" s="35">
        <f t="shared" si="5"/>
        <v>26332248.22</v>
      </c>
      <c r="S43" s="37">
        <f t="shared" si="6"/>
        <v>26332248.22</v>
      </c>
      <c r="T43" s="35">
        <f>IF(B43&gt;=Calculator!$H$7,T42*(1+Calculator!$H$3)-E43,FV(Calculator!$H$1,B43+Calculator!$H$8-Calculator!$B$2, -Calculator!$C$17,-Calculator!$C$13))</f>
        <v>15478129.41</v>
      </c>
      <c r="U43" s="35">
        <f>IF(B43&gt;=Calculator!$H$7,U42*(1+Calculator!$H$3)-F43,FV(Calculator!$H$1,B43+Calculator!$H$8-Calculator!$B$2, -Calculator!$D$17,-Calculator!$D$13))</f>
        <v>1478304.785</v>
      </c>
      <c r="V43" s="35">
        <f>IF(B43&gt;=Calculator!$H$7,V42*(1+Calculator!$H$3)-G43,FV(Calculator!$H$1,B43+Calculator!$H$8-Calculator!$B$2, -Calculator!$E$17,-Calculator!$E$13))</f>
        <v>6206668.022</v>
      </c>
      <c r="W43" s="35">
        <f>IF(B43&gt;=Calculator!$H$7,W42*(1+Calculator!$H$3)-H43,FV(Calculator!$H$1,B43+Calculator!$H$8-Calculator!$B$2, -Calculator!$F$17,-Calculator!$F$13))+P43</f>
        <v>3169145.996</v>
      </c>
      <c r="X43" s="37">
        <f t="shared" si="12"/>
        <v>1042181.469</v>
      </c>
      <c r="Y43" s="37">
        <f>Y42*(1+Calculator!$H$6)</f>
        <v>120025.5157</v>
      </c>
      <c r="Z43" s="37">
        <f t="shared" si="8"/>
        <v>192976.7072</v>
      </c>
      <c r="AA43" s="37">
        <f t="shared" si="9"/>
        <v>849204.7619</v>
      </c>
      <c r="AB43" s="37">
        <f>AA43*Calculator!$H$5</f>
        <v>169840.9524</v>
      </c>
      <c r="AC43" s="37">
        <f t="shared" si="10"/>
        <v>13.7505427</v>
      </c>
      <c r="AD43" s="37">
        <f t="shared" si="13"/>
        <v>539267.0876</v>
      </c>
      <c r="AE43" s="36"/>
      <c r="AF43" s="36"/>
      <c r="AG43" s="36"/>
      <c r="AH43" s="36"/>
      <c r="AI43" s="36"/>
      <c r="AJ43" s="36"/>
      <c r="AK43" s="36"/>
    </row>
    <row r="44">
      <c r="A44" s="30">
        <v>2062.0</v>
      </c>
      <c r="B44" s="30">
        <f>A44-Calculator!$H$8</f>
        <v>89</v>
      </c>
      <c r="C44" s="36" t="str">
        <f>IF(Calculator!$H$15=B44,"Transfer",)</f>
        <v/>
      </c>
      <c r="D44" s="32">
        <f>IF(D43=0,IF(B44&gt;=Calculator!$H$10,Calculator!$H$11,0)*Calculator!$H$17,D43*(1+Calculator!$H$6))</f>
        <v>115334.743</v>
      </c>
      <c r="E44" s="33">
        <f>IF(B44&gt;=Calculator!$H$9,T43*Calculator!$H$14,0)</f>
        <v>619125.1765</v>
      </c>
      <c r="F44" s="33">
        <f>IF(B44&gt;=Calculator!$H$9,U43*Calculator!$H$14,0)</f>
        <v>59132.19141</v>
      </c>
      <c r="G44" s="33">
        <f>IF(B44&gt;=Calculator!$H$7,V43*Calculator!$H$14,0)</f>
        <v>248266.7209</v>
      </c>
      <c r="H44" s="33">
        <f>IF(B44&gt;=Calculator!$H$7,IF(W43&lt;=0,0,W43*Calculator!$H$14),0)</f>
        <v>126765.8398</v>
      </c>
      <c r="I44" s="32">
        <f>IF(I43=0,IF(B44&gt;=Calculator!$H$7,Calculator!$H$12,0),I43*(1+Calculator!$H$6))</f>
        <v>0</v>
      </c>
      <c r="J44" s="34">
        <f>(D44*0.85+E44+H44+I44)*(1-Calculator!$H$5)+D44*0.15+(G44)*(1-Calculator!$H$4)+F44</f>
        <v>975012.89</v>
      </c>
      <c r="K44" s="38">
        <f t="shared" si="1"/>
        <v>1168624.672</v>
      </c>
      <c r="L44" s="38">
        <f t="shared" si="2"/>
        <v>986977.9635</v>
      </c>
      <c r="M44" s="38">
        <f>IF(B44=Calculator!$C$2,Calculator!$B$8,M43*(1+Calculator!$H$6))</f>
        <v>541719.0971</v>
      </c>
      <c r="N44" s="32"/>
      <c r="O44" s="34">
        <f t="shared" si="3"/>
        <v>541719.0971</v>
      </c>
      <c r="P44" s="34">
        <f t="shared" si="4"/>
        <v>445258.8664</v>
      </c>
      <c r="Q44" s="34">
        <f>IF(Calculator!$H$18="Y",Q43+IF(Q43&lt;0,Q43*Calculator!$H$2,Q43*Calculator!$H$3)+P44,0)</f>
        <v>0</v>
      </c>
      <c r="R44" s="35">
        <f t="shared" si="5"/>
        <v>28094119.49</v>
      </c>
      <c r="S44" s="37">
        <f t="shared" si="6"/>
        <v>28094119.49</v>
      </c>
      <c r="T44" s="35">
        <f>IF(B44&gt;=Calculator!$H$7,T43*(1+Calculator!$H$3)-E44,FV(Calculator!$H$1,B44+Calculator!$H$8-Calculator!$B$2, -Calculator!$C$17,-Calculator!$C$13))</f>
        <v>16252035.88</v>
      </c>
      <c r="U44" s="35">
        <f>IF(B44&gt;=Calculator!$H$7,U43*(1+Calculator!$H$3)-F44,FV(Calculator!$H$1,B44+Calculator!$H$8-Calculator!$B$2, -Calculator!$D$17,-Calculator!$D$13))</f>
        <v>1552220.025</v>
      </c>
      <c r="V44" s="35">
        <f>IF(B44&gt;=Calculator!$H$7,V43*(1+Calculator!$H$3)-G44,FV(Calculator!$H$1,B44+Calculator!$H$8-Calculator!$B$2, -Calculator!$E$17,-Calculator!$E$13))</f>
        <v>6517001.423</v>
      </c>
      <c r="W44" s="35">
        <f>IF(B44&gt;=Calculator!$H$7,W43*(1+Calculator!$H$3)-H44,FV(Calculator!$H$1,B44+Calculator!$H$8-Calculator!$B$2, -Calculator!$F$17,-Calculator!$F$13))+P44</f>
        <v>3772862.162</v>
      </c>
      <c r="X44" s="37">
        <f t="shared" si="12"/>
        <v>1109492.48</v>
      </c>
      <c r="Y44" s="37">
        <f>Y43*(1+Calculator!$H$6)</f>
        <v>124826.5363</v>
      </c>
      <c r="Z44" s="37">
        <f t="shared" si="8"/>
        <v>201258.9392</v>
      </c>
      <c r="AA44" s="37">
        <f t="shared" si="9"/>
        <v>908233.5411</v>
      </c>
      <c r="AB44" s="37">
        <f>AA44*Calculator!$H$5</f>
        <v>181646.7082</v>
      </c>
      <c r="AC44" s="37">
        <f t="shared" si="10"/>
        <v>13.85821183</v>
      </c>
      <c r="AD44" s="37">
        <f t="shared" si="13"/>
        <v>603716.1662</v>
      </c>
      <c r="AE44" s="36"/>
      <c r="AF44" s="36"/>
      <c r="AG44" s="36"/>
      <c r="AH44" s="36"/>
      <c r="AI44" s="36"/>
      <c r="AJ44" s="36"/>
      <c r="AK44" s="36"/>
    </row>
    <row r="45">
      <c r="A45" s="30">
        <v>2063.0</v>
      </c>
      <c r="B45" s="30">
        <f>A45-Calculator!$H$8</f>
        <v>90</v>
      </c>
      <c r="C45" s="36" t="str">
        <f>IF(Calculator!$H$15=B45,"Transfer",)</f>
        <v/>
      </c>
      <c r="D45" s="32">
        <f>IF(D44=0,IF(B45&gt;=Calculator!$H$10,Calculator!$H$11,0)*Calculator!$H$17,D44*(1+Calculator!$H$6))</f>
        <v>119948.1328</v>
      </c>
      <c r="E45" s="33">
        <f>IF(B45&gt;=Calculator!$H$9,T44*Calculator!$H$14,0)</f>
        <v>650081.4354</v>
      </c>
      <c r="F45" s="33">
        <f>IF(B45&gt;=Calculator!$H$9,U44*Calculator!$H$14,0)</f>
        <v>62088.80098</v>
      </c>
      <c r="G45" s="33">
        <f>IF(B45&gt;=Calculator!$H$7,V44*Calculator!$H$14,0)</f>
        <v>260680.0569</v>
      </c>
      <c r="H45" s="33">
        <f>IF(B45&gt;=Calculator!$H$7,IF(W44&lt;=0,0,W44*Calculator!$H$14),0)</f>
        <v>150914.4865</v>
      </c>
      <c r="I45" s="32">
        <f>IF(I44=0,IF(B45&gt;=Calculator!$H$7,Calculator!$H$12,0),I44*(1+Calculator!$H$6))</f>
        <v>0</v>
      </c>
      <c r="J45" s="34">
        <f>(D45*0.85+E45+H45+I45)*(1-Calculator!$H$5)+D45*0.15+(G45)*(1-Calculator!$H$4)+F45</f>
        <v>1037054.54</v>
      </c>
      <c r="K45" s="38">
        <f t="shared" si="1"/>
        <v>1243712.913</v>
      </c>
      <c r="L45" s="38">
        <f t="shared" si="2"/>
        <v>1049368.214</v>
      </c>
      <c r="M45" s="38">
        <f>IF(B45=Calculator!$C$2,Calculator!$B$8,M44*(1+Calculator!$H$6))</f>
        <v>563387.861</v>
      </c>
      <c r="N45" s="32"/>
      <c r="O45" s="34">
        <f t="shared" si="3"/>
        <v>563387.861</v>
      </c>
      <c r="P45" s="34">
        <f t="shared" si="4"/>
        <v>485980.3529</v>
      </c>
      <c r="Q45" s="34">
        <f>IF(Calculator!$H$18="Y",Q44+IF(Q44&lt;0,Q44*Calculator!$H$2,Q44*Calculator!$H$3)+P45,0)</f>
        <v>0</v>
      </c>
      <c r="R45" s="35">
        <f t="shared" si="5"/>
        <v>29984805.82</v>
      </c>
      <c r="S45" s="37">
        <f t="shared" si="6"/>
        <v>29984805.82</v>
      </c>
      <c r="T45" s="35">
        <f>IF(B45&gt;=Calculator!$H$7,T44*(1+Calculator!$H$3)-E45,FV(Calculator!$H$1,B45+Calculator!$H$8-Calculator!$B$2, -Calculator!$C$17,-Calculator!$C$13))</f>
        <v>17064637.68</v>
      </c>
      <c r="U45" s="35">
        <f>IF(B45&gt;=Calculator!$H$7,U44*(1+Calculator!$H$3)-F45,FV(Calculator!$H$1,B45+Calculator!$H$8-Calculator!$B$2, -Calculator!$D$17,-Calculator!$D$13))</f>
        <v>1629831.026</v>
      </c>
      <c r="V45" s="35">
        <f>IF(B45&gt;=Calculator!$H$7,V44*(1+Calculator!$H$3)-G45,FV(Calculator!$H$1,B45+Calculator!$H$8-Calculator!$B$2, -Calculator!$E$17,-Calculator!$E$13))</f>
        <v>6842851.494</v>
      </c>
      <c r="W45" s="35">
        <f>IF(B45&gt;=Calculator!$H$7,W44*(1+Calculator!$H$3)-H45,FV(Calculator!$H$1,B45+Calculator!$H$8-Calculator!$B$2, -Calculator!$F$17,-Calculator!$F$13))+P45</f>
        <v>4447485.623</v>
      </c>
      <c r="X45" s="37">
        <f t="shared" si="12"/>
        <v>1181624.112</v>
      </c>
      <c r="Y45" s="37">
        <f>Y44*(1+Calculator!$H$6)</f>
        <v>129819.5978</v>
      </c>
      <c r="Z45" s="37">
        <f t="shared" si="8"/>
        <v>209900.6187</v>
      </c>
      <c r="AA45" s="37">
        <f t="shared" si="9"/>
        <v>971723.4929</v>
      </c>
      <c r="AB45" s="37">
        <f>AA45*Calculator!$H$5</f>
        <v>194344.6986</v>
      </c>
      <c r="AC45" s="37">
        <f t="shared" si="10"/>
        <v>13.96631295</v>
      </c>
      <c r="AD45" s="37">
        <f t="shared" si="13"/>
        <v>674623.461</v>
      </c>
      <c r="AE45" s="36"/>
      <c r="AF45" s="36"/>
      <c r="AG45" s="36"/>
      <c r="AH45" s="36"/>
      <c r="AI45" s="36"/>
      <c r="AJ45" s="36"/>
      <c r="AK45" s="36"/>
    </row>
    <row r="46">
      <c r="A46" s="30">
        <v>2064.0</v>
      </c>
      <c r="B46" s="30">
        <f>A46-Calculator!$H$8</f>
        <v>91</v>
      </c>
      <c r="C46" s="36" t="str">
        <f>IF(Calculator!$H$15=B46,"Transfer",)</f>
        <v/>
      </c>
      <c r="D46" s="32">
        <f>IF(D45=0,IF(B46&gt;=Calculator!$H$10,Calculator!$H$11,0)*Calculator!$H$17,D45*(1+Calculator!$H$6))</f>
        <v>124746.0581</v>
      </c>
      <c r="E46" s="33">
        <f>IF(B46&gt;=Calculator!$H$9,T45*Calculator!$H$14,0)</f>
        <v>682585.5071</v>
      </c>
      <c r="F46" s="33">
        <f>IF(B46&gt;=Calculator!$H$9,U45*Calculator!$H$14,0)</f>
        <v>65193.24103</v>
      </c>
      <c r="G46" s="33">
        <f>IF(B46&gt;=Calculator!$H$7,V45*Calculator!$H$14,0)</f>
        <v>273714.0598</v>
      </c>
      <c r="H46" s="33">
        <f>IF(B46&gt;=Calculator!$H$7,IF(W45&lt;=0,0,W45*Calculator!$H$14),0)</f>
        <v>177899.4249</v>
      </c>
      <c r="I46" s="32">
        <f>IF(I45=0,IF(B46&gt;=Calculator!$H$7,Calculator!$H$12,0),I45*(1+Calculator!$H$6))</f>
        <v>0</v>
      </c>
      <c r="J46" s="34">
        <f>(D46*0.85+E46+H46+I46)*(1-Calculator!$H$5)+D46*0.15+(G46)*(1-Calculator!$H$4)+F46</f>
        <v>1103463.069</v>
      </c>
      <c r="K46" s="38">
        <f t="shared" si="1"/>
        <v>1324138.291</v>
      </c>
      <c r="L46" s="38">
        <f t="shared" si="2"/>
        <v>1116132.787</v>
      </c>
      <c r="M46" s="38">
        <f>IF(B46=Calculator!$C$2,Calculator!$B$8,M45*(1+Calculator!$H$6))</f>
        <v>585923.3755</v>
      </c>
      <c r="N46" s="32"/>
      <c r="O46" s="34">
        <f t="shared" si="3"/>
        <v>585923.3755</v>
      </c>
      <c r="P46" s="34">
        <f t="shared" si="4"/>
        <v>530209.4118</v>
      </c>
      <c r="Q46" s="34">
        <f>IF(Calculator!$H$18="Y",Q45+IF(Q45&lt;0,Q45*Calculator!$H$2,Q45*Calculator!$H$3)+P46,0)</f>
        <v>0</v>
      </c>
      <c r="R46" s="35">
        <f t="shared" si="5"/>
        <v>32014255.52</v>
      </c>
      <c r="S46" s="37">
        <f t="shared" si="6"/>
        <v>32014255.52</v>
      </c>
      <c r="T46" s="35">
        <f>IF(B46&gt;=Calculator!$H$7,T45*(1+Calculator!$H$3)-E46,FV(Calculator!$H$1,B46+Calculator!$H$8-Calculator!$B$2, -Calculator!$C$17,-Calculator!$C$13))</f>
        <v>17917869.56</v>
      </c>
      <c r="U46" s="35">
        <f>IF(B46&gt;=Calculator!$H$7,U45*(1+Calculator!$H$3)-F46,FV(Calculator!$H$1,B46+Calculator!$H$8-Calculator!$B$2, -Calculator!$D$17,-Calculator!$D$13))</f>
        <v>1711322.577</v>
      </c>
      <c r="V46" s="35">
        <f>IF(B46&gt;=Calculator!$H$7,V45*(1+Calculator!$H$3)-G46,FV(Calculator!$H$1,B46+Calculator!$H$8-Calculator!$B$2, -Calculator!$E$17,-Calculator!$E$13))</f>
        <v>7184994.069</v>
      </c>
      <c r="W46" s="35">
        <f>IF(B46&gt;=Calculator!$H$7,W45*(1+Calculator!$H$3)-H46,FV(Calculator!$H$1,B46+Calculator!$H$8-Calculator!$B$2, -Calculator!$F$17,-Calculator!$F$13))+P46</f>
        <v>5200069.316</v>
      </c>
      <c r="X46" s="37">
        <f t="shared" si="12"/>
        <v>1258945.05</v>
      </c>
      <c r="Y46" s="37">
        <f>Y45*(1+Calculator!$H$6)</f>
        <v>135012.3817</v>
      </c>
      <c r="Z46" s="37">
        <f t="shared" si="8"/>
        <v>218917.5314</v>
      </c>
      <c r="AA46" s="37">
        <f t="shared" si="9"/>
        <v>1040027.518</v>
      </c>
      <c r="AB46" s="37">
        <f>AA46*Calculator!$H$5</f>
        <v>208005.5037</v>
      </c>
      <c r="AC46" s="37">
        <f t="shared" si="10"/>
        <v>14.07475271</v>
      </c>
      <c r="AD46" s="37">
        <f t="shared" si="13"/>
        <v>752583.6929</v>
      </c>
      <c r="AE46" s="36"/>
      <c r="AF46" s="36"/>
      <c r="AG46" s="36"/>
      <c r="AH46" s="36"/>
      <c r="AI46" s="36"/>
      <c r="AJ46" s="36"/>
      <c r="AK46" s="36"/>
    </row>
    <row r="47">
      <c r="A47" s="30">
        <v>2065.0</v>
      </c>
      <c r="B47" s="30">
        <f>A47-Calculator!$H$8</f>
        <v>92</v>
      </c>
      <c r="C47" s="36" t="str">
        <f>IF(Calculator!$H$15=B47,"Transfer",)</f>
        <v/>
      </c>
      <c r="D47" s="32">
        <f>IF(D46=0,IF(B47&gt;=Calculator!$H$10,Calculator!$H$11,0)*Calculator!$H$17,D46*(1+Calculator!$H$6))</f>
        <v>129735.9004</v>
      </c>
      <c r="E47" s="33">
        <f>IF(B47&gt;=Calculator!$H$9,T46*Calculator!$H$14,0)</f>
        <v>716714.7825</v>
      </c>
      <c r="F47" s="33">
        <f>IF(B47&gt;=Calculator!$H$9,U46*Calculator!$H$14,0)</f>
        <v>68452.90308</v>
      </c>
      <c r="G47" s="33">
        <f>IF(B47&gt;=Calculator!$H$7,V46*Calculator!$H$14,0)</f>
        <v>287399.7628</v>
      </c>
      <c r="H47" s="33">
        <f>IF(B47&gt;=Calculator!$H$7,IF(W46&lt;=0,0,W46*Calculator!$H$14),0)</f>
        <v>208002.7726</v>
      </c>
      <c r="I47" s="32">
        <f>IF(I46=0,IF(B47&gt;=Calculator!$H$7,Calculator!$H$12,0),I46*(1+Calculator!$H$6))</f>
        <v>0</v>
      </c>
      <c r="J47" s="34">
        <f>(D47*0.85+E47+H47+I47)*(1-Calculator!$H$5)+D47*0.15+(G47)*(1-Calculator!$H$4)+F47</f>
        <v>1174567.531</v>
      </c>
      <c r="K47" s="38">
        <f t="shared" si="1"/>
        <v>1410306.121</v>
      </c>
      <c r="L47" s="38">
        <f t="shared" si="2"/>
        <v>1187600.711</v>
      </c>
      <c r="M47" s="38">
        <f>IF(B47=Calculator!$C$2,Calculator!$B$8,M46*(1+Calculator!$H$6))</f>
        <v>609360.3105</v>
      </c>
      <c r="N47" s="32"/>
      <c r="O47" s="34">
        <f t="shared" si="3"/>
        <v>609360.3105</v>
      </c>
      <c r="P47" s="34">
        <f t="shared" si="4"/>
        <v>578240.4003</v>
      </c>
      <c r="Q47" s="34">
        <f>IF(Calculator!$H$18="Y",Q46+IF(Q46&lt;0,Q46*Calculator!$H$2,Q46*Calculator!$H$3)+P47,0)</f>
        <v>0</v>
      </c>
      <c r="R47" s="35">
        <f t="shared" si="5"/>
        <v>34193208.7</v>
      </c>
      <c r="S47" s="37">
        <f t="shared" si="6"/>
        <v>34193208.7</v>
      </c>
      <c r="T47" s="35">
        <f>IF(B47&gt;=Calculator!$H$7,T46*(1+Calculator!$H$3)-E47,FV(Calculator!$H$1,B47+Calculator!$H$8-Calculator!$B$2, -Calculator!$C$17,-Calculator!$C$13))</f>
        <v>18813763.04</v>
      </c>
      <c r="U47" s="35">
        <f>IF(B47&gt;=Calculator!$H$7,U46*(1+Calculator!$H$3)-F47,FV(Calculator!$H$1,B47+Calculator!$H$8-Calculator!$B$2, -Calculator!$D$17,-Calculator!$D$13))</f>
        <v>1796888.706</v>
      </c>
      <c r="V47" s="35">
        <f>IF(B47&gt;=Calculator!$H$7,V46*(1+Calculator!$H$3)-G47,FV(Calculator!$H$1,B47+Calculator!$H$8-Calculator!$B$2, -Calculator!$E$17,-Calculator!$E$13))</f>
        <v>7544243.772</v>
      </c>
      <c r="W47" s="35">
        <f>IF(B47&gt;=Calculator!$H$7,W46*(1+Calculator!$H$3)-H47,FV(Calculator!$H$1,B47+Calculator!$H$8-Calculator!$B$2, -Calculator!$F$17,-Calculator!$F$13))+P47</f>
        <v>6038313.182</v>
      </c>
      <c r="X47" s="37">
        <f t="shared" si="12"/>
        <v>1341853.218</v>
      </c>
      <c r="Y47" s="37">
        <f>Y46*(1+Calculator!$H$6)</f>
        <v>140412.877</v>
      </c>
      <c r="Z47" s="37">
        <f t="shared" si="8"/>
        <v>228326.1651</v>
      </c>
      <c r="AA47" s="37">
        <f t="shared" si="9"/>
        <v>1113527.053</v>
      </c>
      <c r="AB47" s="37">
        <f>AA47*Calculator!$H$5</f>
        <v>222705.4106</v>
      </c>
      <c r="AC47" s="37">
        <f t="shared" si="10"/>
        <v>14.18343745</v>
      </c>
      <c r="AD47" s="37">
        <f t="shared" si="13"/>
        <v>838243.8661</v>
      </c>
      <c r="AE47" s="36"/>
      <c r="AF47" s="36"/>
      <c r="AG47" s="36"/>
      <c r="AH47" s="36"/>
      <c r="AI47" s="36"/>
      <c r="AJ47" s="36"/>
      <c r="AK47" s="36"/>
    </row>
    <row r="48">
      <c r="A48" s="30">
        <v>2066.0</v>
      </c>
      <c r="B48" s="30">
        <f>A48-Calculator!$H$8</f>
        <v>93</v>
      </c>
      <c r="C48" s="36" t="str">
        <f>IF(Calculator!$H$15=B48,"Transfer",)</f>
        <v/>
      </c>
      <c r="D48" s="32">
        <f>IF(D47=0,IF(B48&gt;=Calculator!$H$10,Calculator!$H$11,0)*Calculator!$H$17,D47*(1+Calculator!$H$6))</f>
        <v>134925.3364</v>
      </c>
      <c r="E48" s="33">
        <f>IF(B48&gt;=Calculator!$H$9,T47*Calculator!$H$14,0)</f>
        <v>752550.5216</v>
      </c>
      <c r="F48" s="33">
        <f>IF(B48&gt;=Calculator!$H$9,U47*Calculator!$H$14,0)</f>
        <v>71875.54824</v>
      </c>
      <c r="G48" s="33">
        <f>IF(B48&gt;=Calculator!$H$7,V47*Calculator!$H$14,0)</f>
        <v>301769.7509</v>
      </c>
      <c r="H48" s="33">
        <f>IF(B48&gt;=Calculator!$H$7,IF(W47&lt;=0,0,W47*Calculator!$H$14),0)</f>
        <v>241532.5273</v>
      </c>
      <c r="I48" s="32">
        <f>IF(I47=0,IF(B48&gt;=Calculator!$H$7,Calculator!$H$12,0),I47*(1+Calculator!$H$6))</f>
        <v>0</v>
      </c>
      <c r="J48" s="34">
        <f>(D48*0.85+E48+H48+I48)*(1-Calculator!$H$5)+D48*0.15+(G48)*(1-Calculator!$H$4)+F48</f>
        <v>1250722.792</v>
      </c>
      <c r="K48" s="38">
        <f t="shared" si="1"/>
        <v>1502653.684</v>
      </c>
      <c r="L48" s="38">
        <f t="shared" si="2"/>
        <v>1264126.805</v>
      </c>
      <c r="M48" s="38">
        <f>IF(B48=Calculator!$C$2,Calculator!$B$8,M47*(1+Calculator!$H$6))</f>
        <v>633734.7229</v>
      </c>
      <c r="N48" s="32"/>
      <c r="O48" s="34">
        <f t="shared" si="3"/>
        <v>633734.7229</v>
      </c>
      <c r="P48" s="34">
        <f t="shared" si="4"/>
        <v>630392.0825</v>
      </c>
      <c r="Q48" s="34">
        <f>IF(Calculator!$H$18="Y",Q47+IF(Q47&lt;0,Q47*Calculator!$H$2,Q47*Calculator!$H$3)+P48,0)</f>
        <v>0</v>
      </c>
      <c r="R48" s="35">
        <f t="shared" si="5"/>
        <v>36533261.22</v>
      </c>
      <c r="S48" s="37">
        <f t="shared" si="6"/>
        <v>36533261.22</v>
      </c>
      <c r="T48" s="35">
        <f>IF(B48&gt;=Calculator!$H$7,T47*(1+Calculator!$H$3)-E48,FV(Calculator!$H$1,B48+Calculator!$H$8-Calculator!$B$2, -Calculator!$C$17,-Calculator!$C$13))</f>
        <v>19754451.19</v>
      </c>
      <c r="U48" s="35">
        <f>IF(B48&gt;=Calculator!$H$7,U47*(1+Calculator!$H$3)-F48,FV(Calculator!$H$1,B48+Calculator!$H$8-Calculator!$B$2, -Calculator!$D$17,-Calculator!$D$13))</f>
        <v>1886733.141</v>
      </c>
      <c r="V48" s="35">
        <f>IF(B48&gt;=Calculator!$H$7,V47*(1+Calculator!$H$3)-G48,FV(Calculator!$H$1,B48+Calculator!$H$8-Calculator!$B$2, -Calculator!$E$17,-Calculator!$E$13))</f>
        <v>7921455.961</v>
      </c>
      <c r="W48" s="35">
        <f>IF(B48&gt;=Calculator!$H$7,W47*(1+Calculator!$H$3)-H48,FV(Calculator!$H$1,B48+Calculator!$H$8-Calculator!$B$2, -Calculator!$F$17,-Calculator!$F$13))+P48</f>
        <v>6970620.924</v>
      </c>
      <c r="X48" s="37">
        <f t="shared" si="12"/>
        <v>1430778.136</v>
      </c>
      <c r="Y48" s="37">
        <f>Y47*(1+Calculator!$H$6)</f>
        <v>146029.392</v>
      </c>
      <c r="Z48" s="37">
        <f t="shared" si="8"/>
        <v>238143.7407</v>
      </c>
      <c r="AA48" s="37">
        <f t="shared" si="9"/>
        <v>1192634.395</v>
      </c>
      <c r="AB48" s="37">
        <f>AA48*Calculator!$H$5</f>
        <v>238526.8791</v>
      </c>
      <c r="AC48" s="37">
        <f t="shared" si="10"/>
        <v>14.2922735</v>
      </c>
      <c r="AD48" s="37">
        <f t="shared" si="13"/>
        <v>932307.7416</v>
      </c>
      <c r="AE48" s="36"/>
      <c r="AF48" s="36"/>
      <c r="AG48" s="36"/>
      <c r="AH48" s="36"/>
      <c r="AI48" s="36"/>
      <c r="AJ48" s="36"/>
      <c r="AK48" s="36"/>
    </row>
    <row r="49">
      <c r="A49" s="30">
        <v>2067.0</v>
      </c>
      <c r="B49" s="30">
        <f>A49-Calculator!$H$8</f>
        <v>94</v>
      </c>
      <c r="C49" s="36"/>
      <c r="D49" s="32">
        <f>IF(D48=0,IF(B49&gt;=Calculator!$H$10,Calculator!$H$11,0)*Calculator!$H$17,D48*(1+Calculator!$H$6))</f>
        <v>140322.3499</v>
      </c>
      <c r="E49" s="33">
        <f>IF(B49&gt;=Calculator!$H$9,T48*Calculator!$H$14,0)</f>
        <v>790178.0477</v>
      </c>
      <c r="F49" s="33">
        <f>IF(B49&gt;=Calculator!$H$9,U48*Calculator!$H$14,0)</f>
        <v>75469.32565</v>
      </c>
      <c r="G49" s="33">
        <f>IF(B49&gt;=Calculator!$H$7,V48*Calculator!$H$14,0)</f>
        <v>316858.2384</v>
      </c>
      <c r="H49" s="33">
        <f>IF(B49&gt;=Calculator!$H$7,IF(W48&lt;=0,0,W48*Calculator!$H$14),0)</f>
        <v>278824.837</v>
      </c>
      <c r="I49" s="32">
        <f>IF(I48=0,IF(B49&gt;=Calculator!$H$7,Calculator!$H$12,0),I48*(1+Calculator!$H$6))</f>
        <v>0</v>
      </c>
      <c r="J49" s="34">
        <f>(D49*0.85+E49+H49+I49)*(1-Calculator!$H$5)+D49*0.15+(G49)*(1-Calculator!$H$4)+F49</f>
        <v>1332311.598</v>
      </c>
      <c r="K49" s="38">
        <f t="shared" si="1"/>
        <v>1601652.799</v>
      </c>
      <c r="L49" s="38">
        <f t="shared" si="2"/>
        <v>1346093.753</v>
      </c>
      <c r="M49" s="38">
        <f>IF(B49=Calculator!$C$2,Calculator!$B$8,M48*(1+Calculator!$H$6))</f>
        <v>659084.1118</v>
      </c>
      <c r="N49" s="32"/>
      <c r="O49" s="34">
        <f t="shared" si="3"/>
        <v>659084.1118</v>
      </c>
      <c r="P49" s="34">
        <f t="shared" si="4"/>
        <v>687009.6414</v>
      </c>
      <c r="Q49" s="34">
        <f>IF(Calculator!$H$18="Y",Q48+IF(Q48&lt;0,Q48*Calculator!$H$2,Q48*Calculator!$H$3)+P49,0)</f>
        <v>0</v>
      </c>
      <c r="R49" s="35">
        <f t="shared" si="5"/>
        <v>39046933.92</v>
      </c>
      <c r="S49" s="37">
        <f t="shared" si="6"/>
        <v>39046933.92</v>
      </c>
      <c r="T49" s="35">
        <f>IF(B49&gt;=Calculator!$H$7,T48*(1+Calculator!$H$3)-E49,FV(Calculator!$H$1,B49+Calculator!$H$8-Calculator!$B$2, -Calculator!$C$17,-Calculator!$C$13))</f>
        <v>20742173.75</v>
      </c>
      <c r="U49" s="35">
        <f>IF(B49&gt;=Calculator!$H$7,U48*(1+Calculator!$H$3)-F49,FV(Calculator!$H$1,B49+Calculator!$H$8-Calculator!$B$2, -Calculator!$D$17,-Calculator!$D$13))</f>
        <v>1981069.798</v>
      </c>
      <c r="V49" s="35">
        <f>IF(B49&gt;=Calculator!$H$7,V48*(1+Calculator!$H$3)-G49,FV(Calculator!$H$1,B49+Calculator!$H$8-Calculator!$B$2, -Calculator!$E$17,-Calculator!$E$13))</f>
        <v>8317528.759</v>
      </c>
      <c r="W49" s="35">
        <f>IF(B49&gt;=Calculator!$H$7,W48*(1+Calculator!$H$3)-H49,FV(Calculator!$H$1,B49+Calculator!$H$8-Calculator!$B$2, -Calculator!$F$17,-Calculator!$F$13))+P49</f>
        <v>8006161.611</v>
      </c>
      <c r="X49" s="37">
        <f t="shared" si="12"/>
        <v>1526183.473</v>
      </c>
      <c r="Y49" s="37">
        <f>Y48*(1+Calculator!$H$6)</f>
        <v>151870.5677</v>
      </c>
      <c r="Z49" s="37">
        <f t="shared" si="8"/>
        <v>248388.2458</v>
      </c>
      <c r="AA49" s="37">
        <f t="shared" si="9"/>
        <v>1277795.227</v>
      </c>
      <c r="AB49" s="37">
        <f>AA49*Calculator!$H$5</f>
        <v>255559.0454</v>
      </c>
      <c r="AC49" s="37">
        <f t="shared" si="10"/>
        <v>14.40116749</v>
      </c>
      <c r="AD49" s="37">
        <f t="shared" si="13"/>
        <v>1035540.688</v>
      </c>
      <c r="AE49" s="36"/>
      <c r="AF49" s="36"/>
      <c r="AG49" s="36"/>
      <c r="AH49" s="36"/>
      <c r="AI49" s="36"/>
      <c r="AJ49" s="36"/>
      <c r="AK49" s="36"/>
    </row>
    <row r="50">
      <c r="A50" s="30">
        <v>2068.0</v>
      </c>
      <c r="B50" s="30">
        <f>A50-Calculator!$H$8</f>
        <v>95</v>
      </c>
      <c r="C50" s="36"/>
      <c r="D50" s="32">
        <f>IF(D49=0,IF(B50&gt;=Calculator!$H$10,Calculator!$H$11,0)*Calculator!$H$17,D49*(1+Calculator!$H$6))</f>
        <v>145935.2439</v>
      </c>
      <c r="E50" s="33">
        <f>IF(B50&gt;=Calculator!$H$9,T49*Calculator!$H$14,0)</f>
        <v>829686.9501</v>
      </c>
      <c r="F50" s="33">
        <f>IF(B50&gt;=Calculator!$H$9,U49*Calculator!$H$14,0)</f>
        <v>79242.79193</v>
      </c>
      <c r="G50" s="33">
        <f>IF(B50&gt;=Calculator!$H$7,V49*Calculator!$H$14,0)</f>
        <v>332701.1504</v>
      </c>
      <c r="H50" s="33">
        <f>IF(B50&gt;=Calculator!$H$7,IF(W49&lt;=0,0,W49*Calculator!$H$14),0)</f>
        <v>320246.4645</v>
      </c>
      <c r="I50" s="32">
        <f>IF(I49=0,IF(B50&gt;=Calculator!$H$7,Calculator!$H$12,0),I49*(1+Calculator!$H$6))</f>
        <v>0</v>
      </c>
      <c r="J50" s="34">
        <f>(D50*0.85+E50+H50+I50)*(1-Calculator!$H$5)+D50*0.15+(G50)*(1-Calculator!$H$4)+F50</f>
        <v>1419746.811</v>
      </c>
      <c r="K50" s="38">
        <f t="shared" si="1"/>
        <v>1707812.601</v>
      </c>
      <c r="L50" s="38">
        <f t="shared" si="2"/>
        <v>1433914.333</v>
      </c>
      <c r="M50" s="38">
        <f>IF(B50=Calculator!$C$2,Calculator!$B$8,M49*(1+Calculator!$H$6))</f>
        <v>685447.4763</v>
      </c>
      <c r="N50" s="32"/>
      <c r="O50" s="34">
        <f t="shared" si="3"/>
        <v>685447.4763</v>
      </c>
      <c r="P50" s="34">
        <f t="shared" si="4"/>
        <v>748466.8565</v>
      </c>
      <c r="Q50" s="34">
        <f>IF(Calculator!$H$18="Y",Q49+IF(Q49&lt;0,Q49*Calculator!$H$2,Q49*Calculator!$H$3)+P50,0)</f>
        <v>0</v>
      </c>
      <c r="R50" s="35">
        <f t="shared" si="5"/>
        <v>41747747.47</v>
      </c>
      <c r="S50" s="37">
        <f t="shared" si="6"/>
        <v>41747747.47</v>
      </c>
      <c r="T50" s="35">
        <f>IF(B50&gt;=Calculator!$H$7,T49*(1+Calculator!$H$3)-E50,FV(Calculator!$H$1,B50+Calculator!$H$8-Calculator!$B$2, -Calculator!$C$17,-Calculator!$C$13))</f>
        <v>21779282.44</v>
      </c>
      <c r="U50" s="35">
        <f>IF(B50&gt;=Calculator!$H$7,U49*(1+Calculator!$H$3)-F50,FV(Calculator!$H$1,B50+Calculator!$H$8-Calculator!$B$2, -Calculator!$D$17,-Calculator!$D$13))</f>
        <v>2080123.288</v>
      </c>
      <c r="V50" s="35">
        <f>IF(B50&gt;=Calculator!$H$7,V49*(1+Calculator!$H$3)-G50,FV(Calculator!$H$1,B50+Calculator!$H$8-Calculator!$B$2, -Calculator!$E$17,-Calculator!$E$13))</f>
        <v>8733405.197</v>
      </c>
      <c r="W50" s="35">
        <f>IF(B50&gt;=Calculator!$H$7,W49*(1+Calculator!$H$3)-H50,FV(Calculator!$H$1,B50+Calculator!$H$8-Calculator!$B$2, -Calculator!$F$17,-Calculator!$F$13))+P50</f>
        <v>9154936.548</v>
      </c>
      <c r="X50" s="37">
        <f t="shared" si="12"/>
        <v>1628569.809</v>
      </c>
      <c r="Y50" s="37">
        <f>Y49*(1+Calculator!$H$6)</f>
        <v>157945.3904</v>
      </c>
      <c r="Z50" s="37">
        <f t="shared" si="8"/>
        <v>259078.4689</v>
      </c>
      <c r="AA50" s="37">
        <f t="shared" si="9"/>
        <v>1369491.34</v>
      </c>
      <c r="AB50" s="37">
        <f>AA50*Calculator!$H$5</f>
        <v>273898.268</v>
      </c>
      <c r="AC50" s="37">
        <f t="shared" si="10"/>
        <v>14.51002664</v>
      </c>
      <c r="AD50" s="37">
        <f t="shared" si="13"/>
        <v>1148774.937</v>
      </c>
      <c r="AE50" s="36"/>
      <c r="AF50" s="36"/>
      <c r="AG50" s="36"/>
      <c r="AH50" s="36"/>
      <c r="AI50" s="36"/>
      <c r="AJ50" s="36"/>
      <c r="AK50" s="36"/>
    </row>
    <row r="51">
      <c r="A51" s="30">
        <v>2069.0</v>
      </c>
      <c r="B51" s="30">
        <f>A51-Calculator!$H$8</f>
        <v>96</v>
      </c>
      <c r="C51" s="36"/>
      <c r="D51" s="32">
        <f>IF(D50=0,IF(B51&gt;=Calculator!$H$10,Calculator!$H$11,0)*Calculator!$H$17,D50*(1+Calculator!$H$6))</f>
        <v>151772.6536</v>
      </c>
      <c r="E51" s="33">
        <f>IF(B51&gt;=Calculator!$H$9,T50*Calculator!$H$14,0)</f>
        <v>871171.2976</v>
      </c>
      <c r="F51" s="33">
        <f>IF(B51&gt;=Calculator!$H$9,U50*Calculator!$H$14,0)</f>
        <v>83204.93153</v>
      </c>
      <c r="G51" s="33">
        <f>IF(B51&gt;=Calculator!$H$7,V50*Calculator!$H$14,0)</f>
        <v>349336.2079</v>
      </c>
      <c r="H51" s="33">
        <f>IF(B51&gt;=Calculator!$H$7,IF(W50&lt;=0,0,W50*Calculator!$H$14),0)</f>
        <v>366197.4619</v>
      </c>
      <c r="I51" s="32">
        <f>IF(I50=0,IF(B51&gt;=Calculator!$H$7,Calculator!$H$12,0),I50*(1+Calculator!$H$6))</f>
        <v>0</v>
      </c>
      <c r="J51" s="34">
        <f>(D51*0.85+E51+H51+I51)*(1-Calculator!$H$5)+D51*0.15+(G51)*(1-Calculator!$H$4)+F51</f>
        <v>1513473.829</v>
      </c>
      <c r="K51" s="38">
        <f t="shared" si="1"/>
        <v>1821682.553</v>
      </c>
      <c r="L51" s="38">
        <f t="shared" si="2"/>
        <v>1528033.835</v>
      </c>
      <c r="M51" s="38">
        <f>IF(B51=Calculator!$C$2,Calculator!$B$8,M50*(1+Calculator!$H$6))</f>
        <v>712865.3753</v>
      </c>
      <c r="N51" s="32"/>
      <c r="O51" s="34">
        <f t="shared" si="3"/>
        <v>712865.3753</v>
      </c>
      <c r="P51" s="34">
        <f t="shared" si="4"/>
        <v>815168.4601</v>
      </c>
      <c r="Q51" s="34">
        <f>IF(Calculator!$H$18="Y",Q50+IF(Q50&lt;0,Q50*Calculator!$H$2,Q50*Calculator!$H$3)+P51,0)</f>
        <v>0</v>
      </c>
      <c r="R51" s="35">
        <f t="shared" si="5"/>
        <v>44650303.31</v>
      </c>
      <c r="S51" s="37">
        <f t="shared" si="6"/>
        <v>44650303.31</v>
      </c>
      <c r="T51" s="35">
        <f>IF(B51&gt;=Calculator!$H$7,T50*(1+Calculator!$H$3)-E51,FV(Calculator!$H$1,B51+Calculator!$H$8-Calculator!$B$2, -Calculator!$C$17,-Calculator!$C$13))</f>
        <v>22868246.56</v>
      </c>
      <c r="U51" s="35">
        <f>IF(B51&gt;=Calculator!$H$7,U50*(1+Calculator!$H$3)-F51,FV(Calculator!$H$1,B51+Calculator!$H$8-Calculator!$B$2, -Calculator!$D$17,-Calculator!$D$13))</f>
        <v>2184129.453</v>
      </c>
      <c r="V51" s="35">
        <f>IF(B51&gt;=Calculator!$H$7,V50*(1+Calculator!$H$3)-G51,FV(Calculator!$H$1,B51+Calculator!$H$8-Calculator!$B$2, -Calculator!$E$17,-Calculator!$E$13))</f>
        <v>9170075.457</v>
      </c>
      <c r="W51" s="35">
        <f>IF(B51&gt;=Calculator!$H$7,W50*(1+Calculator!$H$3)-H51,FV(Calculator!$H$1,B51+Calculator!$H$8-Calculator!$B$2, -Calculator!$F$17,-Calculator!$F$13))+P51</f>
        <v>10427851.84</v>
      </c>
      <c r="X51" s="37">
        <f t="shared" si="12"/>
        <v>1738477.621</v>
      </c>
      <c r="Y51" s="37">
        <f>Y50*(1+Calculator!$H$6)</f>
        <v>164263.206</v>
      </c>
      <c r="Z51" s="37">
        <f t="shared" si="8"/>
        <v>270234.0356</v>
      </c>
      <c r="AA51" s="37">
        <f t="shared" si="9"/>
        <v>1468243.585</v>
      </c>
      <c r="AB51" s="37">
        <f>AA51*Calculator!$H$5</f>
        <v>293648.7171</v>
      </c>
      <c r="AC51" s="37">
        <f t="shared" si="10"/>
        <v>14.61875905</v>
      </c>
      <c r="AD51" s="37">
        <f t="shared" si="13"/>
        <v>1272915.288</v>
      </c>
      <c r="AE51" s="36"/>
      <c r="AF51" s="36"/>
      <c r="AG51" s="36"/>
      <c r="AH51" s="36"/>
      <c r="AI51" s="36"/>
      <c r="AJ51" s="36"/>
      <c r="AK51" s="36"/>
    </row>
    <row r="52">
      <c r="A52" s="30">
        <v>2070.0</v>
      </c>
      <c r="B52" s="30">
        <f>A52-Calculator!$H$8</f>
        <v>97</v>
      </c>
      <c r="C52" s="36"/>
      <c r="D52" s="32">
        <f>IF(D51=0,IF(B52&gt;=Calculator!$H$10,Calculator!$H$11,0)*Calculator!$H$17,D51*(1+Calculator!$H$6))</f>
        <v>157843.5598</v>
      </c>
      <c r="E52" s="33">
        <f>IF(B52&gt;=Calculator!$H$9,T51*Calculator!$H$14,0)</f>
        <v>914729.8625</v>
      </c>
      <c r="F52" s="33">
        <f>IF(B52&gt;=Calculator!$H$9,U51*Calculator!$H$14,0)</f>
        <v>87365.1781</v>
      </c>
      <c r="G52" s="33">
        <f>IF(B52&gt;=Calculator!$H$7,V51*Calculator!$H$14,0)</f>
        <v>366803.0183</v>
      </c>
      <c r="H52" s="33">
        <f>IF(B52&gt;=Calculator!$H$7,IF(W51&lt;=0,0,W51*Calculator!$H$14),0)</f>
        <v>417114.0734</v>
      </c>
      <c r="I52" s="32">
        <f>IF(I51=0,IF(B52&gt;=Calculator!$H$7,Calculator!$H$12,0),I51*(1+Calculator!$H$6))</f>
        <v>0</v>
      </c>
      <c r="J52" s="34">
        <f>(D52*0.85+E52+H52+I52)*(1-Calculator!$H$5)+D52*0.15+(G52)*(1-Calculator!$H$4)+F52</f>
        <v>1613973.198</v>
      </c>
      <c r="K52" s="38">
        <f t="shared" si="1"/>
        <v>1943855.692</v>
      </c>
      <c r="L52" s="38">
        <f t="shared" si="2"/>
        <v>1628932.679</v>
      </c>
      <c r="M52" s="38">
        <f>IF(B52=Calculator!$C$2,Calculator!$B$8,M51*(1+Calculator!$H$6))</f>
        <v>741379.9903</v>
      </c>
      <c r="N52" s="32"/>
      <c r="O52" s="34">
        <f t="shared" si="3"/>
        <v>741379.9903</v>
      </c>
      <c r="P52" s="34">
        <f t="shared" si="4"/>
        <v>887552.6882</v>
      </c>
      <c r="Q52" s="34">
        <f>IF(Calculator!$H$18="Y",Q51+IF(Q51&lt;0,Q51*Calculator!$H$2,Q51*Calculator!$H$3)+P52,0)</f>
        <v>0</v>
      </c>
      <c r="R52" s="35">
        <f t="shared" si="5"/>
        <v>47770371.16</v>
      </c>
      <c r="S52" s="37">
        <f t="shared" si="6"/>
        <v>47770371.16</v>
      </c>
      <c r="T52" s="35">
        <f>IF(B52&gt;=Calculator!$H$7,T51*(1+Calculator!$H$3)-E52,FV(Calculator!$H$1,B52+Calculator!$H$8-Calculator!$B$2, -Calculator!$C$17,-Calculator!$C$13))</f>
        <v>24011658.89</v>
      </c>
      <c r="U52" s="35">
        <f>IF(B52&gt;=Calculator!$H$7,U51*(1+Calculator!$H$3)-F52,FV(Calculator!$H$1,B52+Calculator!$H$8-Calculator!$B$2, -Calculator!$D$17,-Calculator!$D$13))</f>
        <v>2293335.925</v>
      </c>
      <c r="V52" s="35">
        <f>IF(B52&gt;=Calculator!$H$7,V51*(1+Calculator!$H$3)-G52,FV(Calculator!$H$1,B52+Calculator!$H$8-Calculator!$B$2, -Calculator!$E$17,-Calculator!$E$13))</f>
        <v>9628579.23</v>
      </c>
      <c r="W52" s="35">
        <f>IF(B52&gt;=Calculator!$H$7,W51*(1+Calculator!$H$3)-H52,FV(Calculator!$H$1,B52+Calculator!$H$8-Calculator!$B$2, -Calculator!$F$17,-Calculator!$F$13))+P52</f>
        <v>11836797.12</v>
      </c>
      <c r="X52" s="37">
        <f t="shared" si="12"/>
        <v>1856490.514</v>
      </c>
      <c r="Y52" s="37">
        <f>Y51*(1+Calculator!$H$6)</f>
        <v>170833.7343</v>
      </c>
      <c r="Z52" s="37">
        <f t="shared" si="8"/>
        <v>281875.4464</v>
      </c>
      <c r="AA52" s="37">
        <f t="shared" si="9"/>
        <v>1574615.068</v>
      </c>
      <c r="AB52" s="37">
        <f>AA52*Calculator!$H$5</f>
        <v>314923.0135</v>
      </c>
      <c r="AC52" s="37">
        <f t="shared" si="10"/>
        <v>14.72727397</v>
      </c>
      <c r="AD52" s="37">
        <f t="shared" si="13"/>
        <v>1408945.28</v>
      </c>
      <c r="AE52" s="36"/>
      <c r="AF52" s="36"/>
      <c r="AG52" s="36"/>
      <c r="AH52" s="36"/>
      <c r="AI52" s="36"/>
      <c r="AJ52" s="36"/>
      <c r="AK52" s="36"/>
    </row>
    <row r="53">
      <c r="A53" s="30">
        <v>2071.0</v>
      </c>
      <c r="B53" s="30">
        <f>A53-Calculator!$H$8</f>
        <v>98</v>
      </c>
      <c r="C53" s="36"/>
      <c r="D53" s="32">
        <f>IF(D52=0,IF(B53&gt;=Calculator!$H$10,Calculator!$H$11,0)*Calculator!$H$17,D52*(1+Calculator!$H$6))</f>
        <v>164157.3022</v>
      </c>
      <c r="E53" s="33">
        <f>IF(B53&gt;=Calculator!$H$9,T52*Calculator!$H$14,0)</f>
        <v>960466.3556</v>
      </c>
      <c r="F53" s="33">
        <f>IF(B53&gt;=Calculator!$H$9,U52*Calculator!$H$14,0)</f>
        <v>91733.43701</v>
      </c>
      <c r="G53" s="33">
        <f>IF(B53&gt;=Calculator!$H$7,V52*Calculator!$H$14,0)</f>
        <v>385143.1692</v>
      </c>
      <c r="H53" s="33">
        <f>IF(B53&gt;=Calculator!$H$7,IF(W52&lt;=0,0,W52*Calculator!$H$14),0)</f>
        <v>473471.8846</v>
      </c>
      <c r="I53" s="32">
        <f>IF(I52=0,IF(B53&gt;=Calculator!$H$7,Calculator!$H$12,0),I52*(1+Calculator!$H$6))</f>
        <v>0</v>
      </c>
      <c r="J53" s="34">
        <f>(D53*0.85+E53+H53+I53)*(1-Calculator!$H$5)+D53*0.15+(G53)*(1-Calculator!$H$4)+F53</f>
        <v>1721763.442</v>
      </c>
      <c r="K53" s="38">
        <f t="shared" si="1"/>
        <v>2074972.149</v>
      </c>
      <c r="L53" s="38">
        <f t="shared" si="2"/>
        <v>1737129.229</v>
      </c>
      <c r="M53" s="38">
        <f>IF(B53=Calculator!$C$2,Calculator!$B$8,M52*(1+Calculator!$H$6))</f>
        <v>771035.19</v>
      </c>
      <c r="N53" s="32"/>
      <c r="O53" s="34">
        <f t="shared" si="3"/>
        <v>771035.19</v>
      </c>
      <c r="P53" s="34">
        <f t="shared" si="4"/>
        <v>966094.0395</v>
      </c>
      <c r="Q53" s="34">
        <f>IF(Calculator!$H$18="Y",Q52+IF(Q52&lt;0,Q52*Calculator!$H$2,Q52*Calculator!$H$3)+P53,0)</f>
        <v>0</v>
      </c>
      <c r="R53" s="35">
        <f t="shared" si="5"/>
        <v>51124983.76</v>
      </c>
      <c r="S53" s="37">
        <f t="shared" si="6"/>
        <v>51124983.76</v>
      </c>
      <c r="T53" s="35">
        <f>IF(B53&gt;=Calculator!$H$7,T52*(1+Calculator!$H$3)-E53,FV(Calculator!$H$1,B53+Calculator!$H$8-Calculator!$B$2, -Calculator!$C$17,-Calculator!$C$13))</f>
        <v>25212241.83</v>
      </c>
      <c r="U53" s="35">
        <f>IF(B53&gt;=Calculator!$H$7,U52*(1+Calculator!$H$3)-F53,FV(Calculator!$H$1,B53+Calculator!$H$8-Calculator!$B$2, -Calculator!$D$17,-Calculator!$D$13))</f>
        <v>2408002.721</v>
      </c>
      <c r="V53" s="35">
        <f>IF(B53&gt;=Calculator!$H$7,V52*(1+Calculator!$H$3)-G53,FV(Calculator!$H$1,B53+Calculator!$H$8-Calculator!$B$2, -Calculator!$E$17,-Calculator!$E$13))</f>
        <v>10110008.19</v>
      </c>
      <c r="W53" s="35">
        <f>IF(B53&gt;=Calculator!$H$7,W52*(1+Calculator!$H$3)-H53,FV(Calculator!$H$1,B53+Calculator!$H$8-Calculator!$B$2, -Calculator!$F$17,-Calculator!$F$13))+P53</f>
        <v>13394731.01</v>
      </c>
      <c r="X53" s="37">
        <f t="shared" si="12"/>
        <v>1983238.712</v>
      </c>
      <c r="Y53" s="37">
        <f>Y52*(1+Calculator!$H$6)</f>
        <v>177667.0837</v>
      </c>
      <c r="Z53" s="37">
        <f t="shared" si="8"/>
        <v>294024.116</v>
      </c>
      <c r="AA53" s="37">
        <f t="shared" si="9"/>
        <v>1689214.596</v>
      </c>
      <c r="AB53" s="37">
        <f>AA53*Calculator!$H$5</f>
        <v>337842.9191</v>
      </c>
      <c r="AC53" s="37">
        <f t="shared" si="10"/>
        <v>14.8354821</v>
      </c>
      <c r="AD53" s="37">
        <f t="shared" si="13"/>
        <v>1557933.895</v>
      </c>
      <c r="AE53" s="36"/>
      <c r="AF53" s="36"/>
      <c r="AG53" s="36"/>
      <c r="AH53" s="36"/>
      <c r="AI53" s="36"/>
      <c r="AJ53" s="36"/>
      <c r="AK53" s="36"/>
    </row>
    <row r="54">
      <c r="A54" s="30">
        <v>2072.0</v>
      </c>
      <c r="B54" s="30">
        <f>A54-Calculator!$H$8</f>
        <v>99</v>
      </c>
      <c r="C54" s="36"/>
      <c r="D54" s="32">
        <f>IF(D53=0,IF(B54&gt;=Calculator!$H$10,Calculator!$H$11,0)*Calculator!$H$17,D53*(1+Calculator!$H$6))</f>
        <v>170723.5942</v>
      </c>
      <c r="E54" s="33">
        <f>IF(B54&gt;=Calculator!$H$9,T53*Calculator!$H$14,0)</f>
        <v>1008489.673</v>
      </c>
      <c r="F54" s="33">
        <f>IF(B54&gt;=Calculator!$H$9,U53*Calculator!$H$14,0)</f>
        <v>96320.10886</v>
      </c>
      <c r="G54" s="33">
        <f>IF(B54&gt;=Calculator!$H$7,V53*Calculator!$H$14,0)</f>
        <v>404400.3276</v>
      </c>
      <c r="H54" s="33">
        <f>IF(B54&gt;=Calculator!$H$7,IF(W53&lt;=0,0,W53*Calculator!$H$14),0)</f>
        <v>535789.2404</v>
      </c>
      <c r="I54" s="32">
        <f>IF(I53=0,IF(B54&gt;=Calculator!$H$7,Calculator!$H$12,0),I53*(1+Calculator!$H$6))</f>
        <v>0</v>
      </c>
      <c r="J54" s="34">
        <f>(D54*0.85+E54+H54+I54)*(1-Calculator!$H$5)+D54*0.15+(G54)*(1-Calculator!$H$4)+F54</f>
        <v>1837404.118</v>
      </c>
      <c r="K54" s="38">
        <f t="shared" si="1"/>
        <v>2215722.945</v>
      </c>
      <c r="L54" s="38">
        <f t="shared" si="2"/>
        <v>1853182.86</v>
      </c>
      <c r="M54" s="38">
        <f>IF(B54=Calculator!$C$2,Calculator!$B$8,M53*(1+Calculator!$H$6))</f>
        <v>801876.5976</v>
      </c>
      <c r="N54" s="32"/>
      <c r="O54" s="34">
        <f t="shared" si="3"/>
        <v>801876.5976</v>
      </c>
      <c r="P54" s="34">
        <f t="shared" si="4"/>
        <v>1051306.263</v>
      </c>
      <c r="Q54" s="34">
        <f>IF(Calculator!$H$18="Y",Q53+IF(Q53&lt;0,Q53*Calculator!$H$2,Q53*Calculator!$H$3)+P54,0)</f>
        <v>0</v>
      </c>
      <c r="R54" s="35">
        <f t="shared" si="5"/>
        <v>54732539.21</v>
      </c>
      <c r="S54" s="37">
        <f t="shared" si="6"/>
        <v>54732539.21</v>
      </c>
      <c r="T54" s="35">
        <f>IF(B54&gt;=Calculator!$H$7,T53*(1+Calculator!$H$3)-E54,FV(Calculator!$H$1,B54+Calculator!$H$8-Calculator!$B$2, -Calculator!$C$17,-Calculator!$C$13))</f>
        <v>26472853.93</v>
      </c>
      <c r="U54" s="35">
        <f>IF(B54&gt;=Calculator!$H$7,U53*(1+Calculator!$H$3)-F54,FV(Calculator!$H$1,B54+Calculator!$H$8-Calculator!$B$2, -Calculator!$D$17,-Calculator!$D$13))</f>
        <v>2528402.858</v>
      </c>
      <c r="V54" s="35">
        <f>IF(B54&gt;=Calculator!$H$7,V53*(1+Calculator!$H$3)-G54,FV(Calculator!$H$1,B54+Calculator!$H$8-Calculator!$B$2, -Calculator!$E$17,-Calculator!$E$13))</f>
        <v>10615508.6</v>
      </c>
      <c r="W54" s="35">
        <f>IF(B54&gt;=Calculator!$H$7,W53*(1+Calculator!$H$3)-H54,FV(Calculator!$H$1,B54+Calculator!$H$8-Calculator!$B$2, -Calculator!$F$17,-Calculator!$F$13))+P54</f>
        <v>15115773.82</v>
      </c>
      <c r="X54" s="37">
        <f t="shared" si="12"/>
        <v>2119402.836</v>
      </c>
      <c r="Y54" s="37">
        <f>Y53*(1+Calculator!$H$6)</f>
        <v>184773.767</v>
      </c>
      <c r="Z54" s="37">
        <f t="shared" si="8"/>
        <v>306702.415</v>
      </c>
      <c r="AA54" s="37">
        <f t="shared" si="9"/>
        <v>1812700.421</v>
      </c>
      <c r="AB54" s="37">
        <f>AA54*Calculator!$H$5</f>
        <v>362540.0841</v>
      </c>
      <c r="AC54" s="37">
        <f t="shared" si="10"/>
        <v>14.9432958</v>
      </c>
      <c r="AD54" s="37">
        <f t="shared" si="13"/>
        <v>1721042.813</v>
      </c>
      <c r="AE54" s="36"/>
      <c r="AF54" s="36"/>
      <c r="AG54" s="36"/>
      <c r="AH54" s="36"/>
      <c r="AI54" s="36"/>
      <c r="AJ54" s="36"/>
      <c r="AK54" s="36"/>
    </row>
    <row r="55">
      <c r="A55" s="30">
        <v>2073.0</v>
      </c>
      <c r="B55" s="30">
        <f>A55-Calculator!$H$8</f>
        <v>100</v>
      </c>
      <c r="C55" s="36"/>
      <c r="D55" s="32">
        <f>IF(D54=0,IF(B55&gt;=Calculator!$H$10,Calculator!$H$11,0)*Calculator!$H$17,D54*(1+Calculator!$H$6))</f>
        <v>177552.538</v>
      </c>
      <c r="E55" s="33">
        <f>IF(B55&gt;=Calculator!$H$9,T54*Calculator!$H$14,0)</f>
        <v>1058914.157</v>
      </c>
      <c r="F55" s="33">
        <f>IF(B55&gt;=Calculator!$H$9,U54*Calculator!$H$14,0)</f>
        <v>101136.1143</v>
      </c>
      <c r="G55" s="33">
        <f>IF(B55&gt;=Calculator!$H$7,V54*Calculator!$H$14,0)</f>
        <v>424620.344</v>
      </c>
      <c r="H55" s="33">
        <f>IF(B55&gt;=Calculator!$H$7,IF(W54&lt;=0,0,W54*Calculator!$H$14),0)</f>
        <v>604630.953</v>
      </c>
      <c r="I55" s="32">
        <f>IF(I54=0,IF(B55&gt;=Calculator!$H$7,Calculator!$H$12,0),I54*(1+Calculator!$H$6))</f>
        <v>0</v>
      </c>
      <c r="J55" s="34">
        <f>(D55*0.85+E55+H55+I55)*(1-Calculator!$H$5)+D55*0.15+(G55)*(1-Calculator!$H$4)+F55</f>
        <v>1961499.118</v>
      </c>
      <c r="K55" s="38">
        <f t="shared" si="1"/>
        <v>2366854.106</v>
      </c>
      <c r="L55" s="38">
        <f t="shared" si="2"/>
        <v>1977697.25</v>
      </c>
      <c r="M55" s="38">
        <f>IF(B55=Calculator!$C$2,Calculator!$B$8,M54*(1+Calculator!$H$6))</f>
        <v>833951.6615</v>
      </c>
      <c r="N55" s="32"/>
      <c r="O55" s="34">
        <f t="shared" si="3"/>
        <v>833951.6615</v>
      </c>
      <c r="P55" s="34">
        <f t="shared" si="4"/>
        <v>1143745.589</v>
      </c>
      <c r="Q55" s="34">
        <f>IF(Calculator!$H$18="Y",Q54+IF(Q54&lt;0,Q54*Calculator!$H$2,Q54*Calculator!$H$3)+P55,0)</f>
        <v>0</v>
      </c>
      <c r="R55" s="35">
        <f t="shared" si="5"/>
        <v>58612911.76</v>
      </c>
      <c r="S55" s="37">
        <f t="shared" si="6"/>
        <v>58612911.76</v>
      </c>
      <c r="T55" s="35">
        <f>IF(B55&gt;=Calculator!$H$7,T54*(1+Calculator!$H$3)-E55,FV(Calculator!$H$1,B55+Calculator!$H$8-Calculator!$B$2, -Calculator!$C$17,-Calculator!$C$13))</f>
        <v>27796496.62</v>
      </c>
      <c r="U55" s="35">
        <f>IF(B55&gt;=Calculator!$H$7,U54*(1+Calculator!$H$3)-F55,FV(Calculator!$H$1,B55+Calculator!$H$8-Calculator!$B$2, -Calculator!$D$17,-Calculator!$D$13))</f>
        <v>2654823</v>
      </c>
      <c r="V55" s="35">
        <f>IF(B55&gt;=Calculator!$H$7,V54*(1+Calculator!$H$3)-G55,FV(Calculator!$H$1,B55+Calculator!$H$8-Calculator!$B$2, -Calculator!$E$17,-Calculator!$E$13))</f>
        <v>11146284.03</v>
      </c>
      <c r="W55" s="35">
        <f>IF(B55&gt;=Calculator!$H$7,W54*(1+Calculator!$H$3)-H55,FV(Calculator!$H$1,B55+Calculator!$H$8-Calculator!$B$2, -Calculator!$F$17,-Calculator!$F$13))+P55</f>
        <v>17015308.1</v>
      </c>
      <c r="X55" s="37">
        <f t="shared" si="12"/>
        <v>2265717.992</v>
      </c>
      <c r="Y55" s="37">
        <f>Y54*(1+Calculator!$H$6)</f>
        <v>192164.7177</v>
      </c>
      <c r="Z55" s="37">
        <f t="shared" si="8"/>
        <v>319933.7127</v>
      </c>
      <c r="AA55" s="37">
        <f t="shared" si="9"/>
        <v>1945784.279</v>
      </c>
      <c r="AB55" s="37">
        <f>AA55*Calculator!$H$5</f>
        <v>389156.8559</v>
      </c>
      <c r="AC55" s="37">
        <f t="shared" si="10"/>
        <v>15.05062941</v>
      </c>
      <c r="AD55" s="37">
        <f t="shared" si="13"/>
        <v>1899534.28</v>
      </c>
      <c r="AE55" s="36"/>
      <c r="AF55" s="36"/>
      <c r="AG55" s="36"/>
      <c r="AH55" s="36"/>
      <c r="AI55" s="36"/>
      <c r="AJ55" s="36"/>
      <c r="AK55" s="36"/>
    </row>
    <row r="56">
      <c r="A56" s="30">
        <v>2074.0</v>
      </c>
      <c r="B56" s="30">
        <f>A56-Calculator!$H$8</f>
        <v>101</v>
      </c>
      <c r="C56" s="36"/>
      <c r="D56" s="32">
        <f>IF(D55=0,IF(B56&gt;=Calculator!$H$10,Calculator!$H$11,0)*Calculator!$H$17,D55*(1+Calculator!$H$6))</f>
        <v>184654.6395</v>
      </c>
      <c r="E56" s="33">
        <f>IF(B56&gt;=Calculator!$H$9,T55*Calculator!$H$14,0)</f>
        <v>1111859.865</v>
      </c>
      <c r="F56" s="33">
        <f>IF(B56&gt;=Calculator!$H$9,U55*Calculator!$H$14,0)</f>
        <v>106192.92</v>
      </c>
      <c r="G56" s="33">
        <f>IF(B56&gt;=Calculator!$H$7,V55*Calculator!$H$14,0)</f>
        <v>445851.3612</v>
      </c>
      <c r="H56" s="33">
        <f>IF(B56&gt;=Calculator!$H$7,IF(W55&lt;=0,0,W55*Calculator!$H$14),0)</f>
        <v>680612.3242</v>
      </c>
      <c r="I56" s="32">
        <f>IF(I55=0,IF(B56&gt;=Calculator!$H$7,Calculator!$H$12,0),I55*(1+Calculator!$H$6))</f>
        <v>0</v>
      </c>
      <c r="J56" s="34">
        <f>(D56*0.85+E56+H56+I56)*(1-Calculator!$H$5)+D56*0.15+(G56)*(1-Calculator!$H$4)+F56</f>
        <v>2094700.247</v>
      </c>
      <c r="K56" s="38">
        <f t="shared" si="1"/>
        <v>2529171.11</v>
      </c>
      <c r="L56" s="38">
        <f t="shared" si="2"/>
        <v>2111323.956</v>
      </c>
      <c r="M56" s="38">
        <f>IF(B56=Calculator!$C$2,Calculator!$B$8,M55*(1+Calculator!$H$6))</f>
        <v>867309.7279</v>
      </c>
      <c r="N56" s="32"/>
      <c r="O56" s="34">
        <f t="shared" si="3"/>
        <v>867309.7279</v>
      </c>
      <c r="P56" s="34">
        <f t="shared" si="4"/>
        <v>1244014.228</v>
      </c>
      <c r="Q56" s="34">
        <f>IF(Calculator!$H$18="Y",Q55+IF(Q55&lt;0,Q55*Calculator!$H$2,Q55*Calculator!$H$3)+P56,0)</f>
        <v>0</v>
      </c>
      <c r="R56" s="35">
        <f t="shared" si="5"/>
        <v>62787571.57</v>
      </c>
      <c r="S56" s="37">
        <f t="shared" si="6"/>
        <v>62787571.57</v>
      </c>
      <c r="T56" s="35">
        <f>IF(B56&gt;=Calculator!$H$7,T55*(1+Calculator!$H$3)-E56,FV(Calculator!$H$1,B56+Calculator!$H$8-Calculator!$B$2, -Calculator!$C$17,-Calculator!$C$13))</f>
        <v>29186321.45</v>
      </c>
      <c r="U56" s="35">
        <f>IF(B56&gt;=Calculator!$H$7,U55*(1+Calculator!$H$3)-F56,FV(Calculator!$H$1,B56+Calculator!$H$8-Calculator!$B$2, -Calculator!$D$17,-Calculator!$D$13))</f>
        <v>2787564.15</v>
      </c>
      <c r="V56" s="35">
        <f>IF(B56&gt;=Calculator!$H$7,V55*(1+Calculator!$H$3)-G56,FV(Calculator!$H$1,B56+Calculator!$H$8-Calculator!$B$2, -Calculator!$E$17,-Calculator!$E$13))</f>
        <v>11703598.23</v>
      </c>
      <c r="W56" s="35">
        <f>IF(B56&gt;=Calculator!$H$7,W55*(1+Calculator!$H$3)-H56,FV(Calculator!$H$1,B56+Calculator!$H$8-Calculator!$B$2, -Calculator!$F$17,-Calculator!$F$13))+P56</f>
        <v>19110087.74</v>
      </c>
      <c r="X56" s="37">
        <f t="shared" si="12"/>
        <v>2422978.19</v>
      </c>
      <c r="Y56" s="37">
        <f>Y55*(1+Calculator!$H$6)</f>
        <v>199851.3064</v>
      </c>
      <c r="Z56" s="37">
        <f t="shared" si="8"/>
        <v>333742.4223</v>
      </c>
      <c r="AA56" s="37">
        <f t="shared" si="9"/>
        <v>2089235.768</v>
      </c>
      <c r="AB56" s="37">
        <f>AA56*Calculator!$H$5</f>
        <v>417847.1535</v>
      </c>
      <c r="AC56" s="37">
        <f t="shared" si="10"/>
        <v>15.1573994</v>
      </c>
      <c r="AD56" s="37">
        <f t="shared" si="13"/>
        <v>2094779.634</v>
      </c>
      <c r="AE56" s="36"/>
      <c r="AF56" s="36"/>
      <c r="AG56" s="36"/>
      <c r="AH56" s="36"/>
      <c r="AI56" s="36"/>
      <c r="AJ56" s="36"/>
      <c r="AK56" s="36"/>
    </row>
    <row r="57">
      <c r="A57" s="30">
        <v>2075.0</v>
      </c>
      <c r="B57" s="30">
        <f>A57-Calculator!$H$8</f>
        <v>102</v>
      </c>
      <c r="C57" s="36"/>
      <c r="D57" s="32">
        <f>IF(D56=0,IF(B57&gt;=Calculator!$H$10,Calculator!$H$11,0)*Calculator!$H$17,D56*(1+Calculator!$H$6))</f>
        <v>192040.8251</v>
      </c>
      <c r="E57" s="33">
        <f>IF(B57&gt;=Calculator!$H$9,T56*Calculator!$H$14,0)</f>
        <v>1167452.858</v>
      </c>
      <c r="F57" s="33">
        <f>IF(B57&gt;=Calculator!$H$9,U56*Calculator!$H$14,0)</f>
        <v>111502.566</v>
      </c>
      <c r="G57" s="33">
        <f>IF(B57&gt;=Calculator!$H$7,V56*Calculator!$H$14,0)</f>
        <v>468143.9293</v>
      </c>
      <c r="H57" s="33">
        <f>IF(B57&gt;=Calculator!$H$7,IF(W56&lt;=0,0,W56*Calculator!$H$14),0)</f>
        <v>764403.5095</v>
      </c>
      <c r="I57" s="32">
        <f>IF(I56=0,IF(B57&gt;=Calculator!$H$7,Calculator!$H$12,0),I56*(1+Calculator!$H$6))</f>
        <v>0</v>
      </c>
      <c r="J57" s="34">
        <f>(D57*0.85+E57+H57+I57)*(1-Calculator!$H$5)+D57*0.15+(G57)*(1-Calculator!$H$4)+F57</f>
        <v>2237711.081</v>
      </c>
      <c r="K57" s="38">
        <f t="shared" si="1"/>
        <v>2703543.688</v>
      </c>
      <c r="L57" s="38">
        <f t="shared" si="2"/>
        <v>2254766.273</v>
      </c>
      <c r="M57" s="38">
        <f>IF(B57=Calculator!$C$2,Calculator!$B$8,M56*(1+Calculator!$H$6))</f>
        <v>902002.117</v>
      </c>
      <c r="N57" s="32"/>
      <c r="O57" s="34">
        <f t="shared" si="3"/>
        <v>902002.117</v>
      </c>
      <c r="P57" s="34">
        <f t="shared" si="4"/>
        <v>1352764.156</v>
      </c>
      <c r="Q57" s="34">
        <f>IF(Calculator!$H$18="Y",Q56+IF(Q56&lt;0,Q56*Calculator!$H$2,Q56*Calculator!$H$3)+P57,0)</f>
        <v>0</v>
      </c>
      <c r="R57" s="35">
        <f t="shared" si="5"/>
        <v>67279714.31</v>
      </c>
      <c r="S57" s="37">
        <f t="shared" si="6"/>
        <v>67279714.31</v>
      </c>
      <c r="T57" s="35">
        <f>IF(B57&gt;=Calculator!$H$7,T56*(1+Calculator!$H$3)-E57,FV(Calculator!$H$1,B57+Calculator!$H$8-Calculator!$B$2, -Calculator!$C$17,-Calculator!$C$13))</f>
        <v>30645637.53</v>
      </c>
      <c r="U57" s="35">
        <f>IF(B57&gt;=Calculator!$H$7,U56*(1+Calculator!$H$3)-F57,FV(Calculator!$H$1,B57+Calculator!$H$8-Calculator!$B$2, -Calculator!$D$17,-Calculator!$D$13))</f>
        <v>2926942.358</v>
      </c>
      <c r="V57" s="35">
        <f>IF(B57&gt;=Calculator!$H$7,V56*(1+Calculator!$H$3)-G57,FV(Calculator!$H$1,B57+Calculator!$H$8-Calculator!$B$2, -Calculator!$E$17,-Calculator!$E$13))</f>
        <v>12288778.14</v>
      </c>
      <c r="W57" s="35">
        <f>IF(B57&gt;=Calculator!$H$7,W56*(1+Calculator!$H$3)-H57,FV(Calculator!$H$1,B57+Calculator!$H$8-Calculator!$B$2, -Calculator!$F$17,-Calculator!$F$13))+P57</f>
        <v>21418356.28</v>
      </c>
      <c r="X57" s="37">
        <f t="shared" si="12"/>
        <v>2592041.122</v>
      </c>
      <c r="Y57" s="37">
        <f>Y56*(1+Calculator!$H$6)</f>
        <v>207845.3586</v>
      </c>
      <c r="Z57" s="37">
        <f t="shared" si="8"/>
        <v>348154.0484</v>
      </c>
      <c r="AA57" s="37">
        <f t="shared" si="9"/>
        <v>2243887.074</v>
      </c>
      <c r="AB57" s="37">
        <f>AA57*Calculator!$H$5</f>
        <v>448777.4147</v>
      </c>
      <c r="AC57" s="37">
        <f t="shared" si="10"/>
        <v>15.26352465</v>
      </c>
      <c r="AD57" s="37">
        <f t="shared" si="13"/>
        <v>2308268.543</v>
      </c>
      <c r="AE57" s="36"/>
      <c r="AF57" s="36"/>
      <c r="AG57" s="36"/>
      <c r="AH57" s="36"/>
      <c r="AI57" s="36"/>
      <c r="AJ57" s="36"/>
      <c r="AK57" s="36"/>
    </row>
    <row r="58">
      <c r="A58" s="30">
        <v>2076.0</v>
      </c>
      <c r="B58" s="30">
        <f>A58-Calculator!$H$8</f>
        <v>103</v>
      </c>
      <c r="C58" s="36"/>
      <c r="D58" s="32">
        <f>IF(D57=0,IF(B58&gt;=Calculator!$H$10,Calculator!$H$11,0)*Calculator!$H$17,D57*(1+Calculator!$H$6))</f>
        <v>199722.4581</v>
      </c>
      <c r="E58" s="33">
        <f>IF(B58&gt;=Calculator!$H$9,T57*Calculator!$H$14,0)</f>
        <v>1225825.501</v>
      </c>
      <c r="F58" s="33">
        <f>IF(B58&gt;=Calculator!$H$9,U57*Calculator!$H$14,0)</f>
        <v>117077.6943</v>
      </c>
      <c r="G58" s="33">
        <f>IF(B58&gt;=Calculator!$H$7,V57*Calculator!$H$14,0)</f>
        <v>491551.1258</v>
      </c>
      <c r="H58" s="33">
        <f>IF(B58&gt;=Calculator!$H$7,IF(W57&lt;=0,0,W57*Calculator!$H$14),0)</f>
        <v>856734.2513</v>
      </c>
      <c r="I58" s="32">
        <f>IF(I57=0,IF(B58&gt;=Calculator!$H$7,Calculator!$H$12,0),I57*(1+Calculator!$H$6))</f>
        <v>0</v>
      </c>
      <c r="J58" s="34">
        <f>(D58*0.85+E58+H58+I58)*(1-Calculator!$H$5)+D58*0.15+(G58)*(1-Calculator!$H$4)+F58</f>
        <v>2391291.15</v>
      </c>
      <c r="K58" s="38">
        <f t="shared" si="1"/>
        <v>2890911.031</v>
      </c>
      <c r="L58" s="38">
        <f t="shared" si="2"/>
        <v>2408783.41</v>
      </c>
      <c r="M58" s="38">
        <f>IF(B58=Calculator!$C$2,Calculator!$B$8,M57*(1+Calculator!$H$6))</f>
        <v>938082.2017</v>
      </c>
      <c r="N58" s="32"/>
      <c r="O58" s="34">
        <f t="shared" si="3"/>
        <v>938082.2017</v>
      </c>
      <c r="P58" s="34">
        <f t="shared" si="4"/>
        <v>1470701.209</v>
      </c>
      <c r="Q58" s="34">
        <f>IF(Calculator!$H$18="Y",Q57+IF(Q57&lt;0,Q57*Calculator!$H$2,Q57*Calculator!$H$3)+P58,0)</f>
        <v>0</v>
      </c>
      <c r="R58" s="35">
        <f t="shared" si="5"/>
        <v>72114401.23</v>
      </c>
      <c r="S58" s="37">
        <f t="shared" si="6"/>
        <v>72114401.23</v>
      </c>
      <c r="T58" s="35">
        <f>IF(B58&gt;=Calculator!$H$7,T57*(1+Calculator!$H$3)-E58,FV(Calculator!$H$1,B58+Calculator!$H$8-Calculator!$B$2, -Calculator!$C$17,-Calculator!$C$13))</f>
        <v>32177919.4</v>
      </c>
      <c r="U58" s="35">
        <f>IF(B58&gt;=Calculator!$H$7,U57*(1+Calculator!$H$3)-F58,FV(Calculator!$H$1,B58+Calculator!$H$8-Calculator!$B$2, -Calculator!$D$17,-Calculator!$D$13))</f>
        <v>3073289.476</v>
      </c>
      <c r="V58" s="35">
        <f>IF(B58&gt;=Calculator!$H$7,V57*(1+Calculator!$H$3)-G58,FV(Calculator!$H$1,B58+Calculator!$H$8-Calculator!$B$2, -Calculator!$E$17,-Calculator!$E$13))</f>
        <v>12903217.05</v>
      </c>
      <c r="W58" s="35">
        <f>IF(B58&gt;=Calculator!$H$7,W57*(1+Calculator!$H$3)-H58,FV(Calculator!$H$1,B58+Calculator!$H$8-Calculator!$B$2, -Calculator!$F$17,-Calculator!$F$13))+P58</f>
        <v>23959975.3</v>
      </c>
      <c r="X58" s="37">
        <f t="shared" si="12"/>
        <v>2773833.336</v>
      </c>
      <c r="Y58" s="37">
        <f>Y57*(1+Calculator!$H$6)</f>
        <v>216159.173</v>
      </c>
      <c r="Z58" s="37">
        <f t="shared" si="8"/>
        <v>363195.236</v>
      </c>
      <c r="AA58" s="37">
        <f t="shared" si="9"/>
        <v>2410638.1</v>
      </c>
      <c r="AB58" s="37">
        <f>AA58*Calculator!$H$5</f>
        <v>482127.62</v>
      </c>
      <c r="AC58" s="37">
        <f t="shared" si="10"/>
        <v>15.36892664</v>
      </c>
      <c r="AD58" s="37">
        <f t="shared" si="13"/>
        <v>2541619.023</v>
      </c>
      <c r="AE58" s="36"/>
      <c r="AF58" s="36"/>
      <c r="AG58" s="36"/>
      <c r="AH58" s="36"/>
      <c r="AI58" s="36"/>
      <c r="AJ58" s="36"/>
      <c r="AK58" s="36"/>
    </row>
    <row r="59">
      <c r="A59" s="30">
        <v>2077.0</v>
      </c>
      <c r="B59" s="30">
        <f>A59-Calculator!$H$8</f>
        <v>104</v>
      </c>
      <c r="C59" s="36"/>
      <c r="D59" s="32">
        <f>IF(D58=0,IF(B59&gt;=Calculator!$H$10,Calculator!$H$11,0)*Calculator!$H$17,D58*(1+Calculator!$H$6))</f>
        <v>207711.3564</v>
      </c>
      <c r="E59" s="33">
        <f>IF(B59&gt;=Calculator!$H$9,T58*Calculator!$H$14,0)</f>
        <v>1287116.776</v>
      </c>
      <c r="F59" s="33">
        <f>IF(B59&gt;=Calculator!$H$9,U58*Calculator!$H$14,0)</f>
        <v>122931.579</v>
      </c>
      <c r="G59" s="33">
        <f>IF(B59&gt;=Calculator!$H$7,V58*Calculator!$H$14,0)</f>
        <v>516128.682</v>
      </c>
      <c r="H59" s="33">
        <f>IF(B59&gt;=Calculator!$H$7,IF(W58&lt;=0,0,W58*Calculator!$H$14),0)</f>
        <v>958399.0122</v>
      </c>
      <c r="I59" s="32">
        <f>IF(I58=0,IF(B59&gt;=Calculator!$H$7,Calculator!$H$12,0),I58*(1+Calculator!$H$6))</f>
        <v>0</v>
      </c>
      <c r="J59" s="34">
        <f>(D59*0.85+E59+H59+I59)*(1-Calculator!$H$5)+D59*0.15+(G59)*(1-Calculator!$H$4)+F59</f>
        <v>2556260.449</v>
      </c>
      <c r="K59" s="38">
        <f t="shared" si="1"/>
        <v>3092287.406</v>
      </c>
      <c r="L59" s="38">
        <f t="shared" si="2"/>
        <v>2574195.005</v>
      </c>
      <c r="M59" s="38">
        <f>IF(B59=Calculator!$C$2,Calculator!$B$8,M58*(1+Calculator!$H$6))</f>
        <v>975605.4898</v>
      </c>
      <c r="N59" s="32"/>
      <c r="O59" s="34">
        <f t="shared" si="3"/>
        <v>975605.4898</v>
      </c>
      <c r="P59" s="34">
        <f t="shared" si="4"/>
        <v>1598589.515</v>
      </c>
      <c r="Q59" s="34">
        <f>IF(Calculator!$H$18="Y",Q58+IF(Q58&lt;0,Q58*Calculator!$H$2,Q58*Calculator!$H$3)+P59,0)</f>
        <v>0</v>
      </c>
      <c r="R59" s="35">
        <f t="shared" si="5"/>
        <v>77318710.81</v>
      </c>
      <c r="S59" s="37">
        <f t="shared" si="6"/>
        <v>77318710.81</v>
      </c>
      <c r="T59" s="35">
        <f>IF(B59&gt;=Calculator!$H$7,T58*(1+Calculator!$H$3)-E59,FV(Calculator!$H$1,B59+Calculator!$H$8-Calculator!$B$2, -Calculator!$C$17,-Calculator!$C$13))</f>
        <v>33786815.37</v>
      </c>
      <c r="U59" s="35">
        <f>IF(B59&gt;=Calculator!$H$7,U58*(1+Calculator!$H$3)-F59,FV(Calculator!$H$1,B59+Calculator!$H$8-Calculator!$B$2, -Calculator!$D$17,-Calculator!$D$13))</f>
        <v>3226953.95</v>
      </c>
      <c r="V59" s="35">
        <f>IF(B59&gt;=Calculator!$H$7,V58*(1+Calculator!$H$3)-G59,FV(Calculator!$H$1,B59+Calculator!$H$8-Calculator!$B$2, -Calculator!$E$17,-Calculator!$E$13))</f>
        <v>13548377.9</v>
      </c>
      <c r="W59" s="35">
        <f>IF(B59&gt;=Calculator!$H$7,W58*(1+Calculator!$H$3)-H59,FV(Calculator!$H$1,B59+Calculator!$H$8-Calculator!$B$2, -Calculator!$F$17,-Calculator!$F$13))+P59</f>
        <v>26756563.59</v>
      </c>
      <c r="X59" s="37">
        <f t="shared" si="12"/>
        <v>2969355.827</v>
      </c>
      <c r="Y59" s="37">
        <f>Y58*(1+Calculator!$H$6)</f>
        <v>224805.5399</v>
      </c>
      <c r="Z59" s="37">
        <f t="shared" si="8"/>
        <v>378893.8224</v>
      </c>
      <c r="AA59" s="37">
        <f t="shared" si="9"/>
        <v>2590462.004</v>
      </c>
      <c r="AB59" s="37">
        <f>AA59*Calculator!$H$5</f>
        <v>518092.4009</v>
      </c>
      <c r="AC59" s="37">
        <f t="shared" si="10"/>
        <v>15.47352961</v>
      </c>
      <c r="AD59" s="37">
        <f t="shared" si="13"/>
        <v>2796588.28</v>
      </c>
      <c r="AE59" s="36"/>
      <c r="AF59" s="36"/>
      <c r="AG59" s="36"/>
      <c r="AH59" s="36"/>
      <c r="AI59" s="36"/>
      <c r="AJ59" s="36"/>
      <c r="AK59" s="36"/>
    </row>
    <row r="60">
      <c r="A60" s="30">
        <v>2078.0</v>
      </c>
      <c r="B60" s="30">
        <f>A60-Calculator!$H$8</f>
        <v>105</v>
      </c>
      <c r="C60" s="36"/>
      <c r="D60" s="32">
        <f>IF(D59=0,IF(B60&gt;=Calculator!$H$10,Calculator!$H$11,0)*Calculator!$H$17,D59*(1+Calculator!$H$6))</f>
        <v>216019.8107</v>
      </c>
      <c r="E60" s="33">
        <f>IF(B60&gt;=Calculator!$H$9,T59*Calculator!$H$14,0)</f>
        <v>1351472.615</v>
      </c>
      <c r="F60" s="33">
        <f>IF(B60&gt;=Calculator!$H$9,U59*Calculator!$H$14,0)</f>
        <v>129078.158</v>
      </c>
      <c r="G60" s="33">
        <f>IF(B60&gt;=Calculator!$H$7,V59*Calculator!$H$14,0)</f>
        <v>541935.1161</v>
      </c>
      <c r="H60" s="33">
        <f>IF(B60&gt;=Calculator!$H$7,IF(W59&lt;=0,0,W59*Calculator!$H$14),0)</f>
        <v>1070262.543</v>
      </c>
      <c r="I60" s="32">
        <f>IF(I59=0,IF(B60&gt;=Calculator!$H$7,Calculator!$H$12,0),I59*(1+Calculator!$H$6))</f>
        <v>0</v>
      </c>
      <c r="J60" s="34">
        <f>(D60*0.85+E60+H60+I60)*(1-Calculator!$H$5)+D60*0.15+(G60)*(1-Calculator!$H$4)+F60</f>
        <v>2733504.332</v>
      </c>
      <c r="K60" s="38">
        <f t="shared" si="1"/>
        <v>3308768.243</v>
      </c>
      <c r="L60" s="38">
        <f t="shared" si="2"/>
        <v>2751886.004</v>
      </c>
      <c r="M60" s="38">
        <f>IF(B60=Calculator!$C$2,Calculator!$B$8,M59*(1+Calculator!$H$6))</f>
        <v>1014629.709</v>
      </c>
      <c r="N60" s="32"/>
      <c r="O60" s="34">
        <f t="shared" si="3"/>
        <v>1014629.709</v>
      </c>
      <c r="P60" s="34">
        <f t="shared" si="4"/>
        <v>1737256.295</v>
      </c>
      <c r="Q60" s="34">
        <f>IF(Calculator!$H$18="Y",Q59+IF(Q59&lt;0,Q59*Calculator!$H$2,Q59*Calculator!$H$3)+P60,0)</f>
        <v>0</v>
      </c>
      <c r="R60" s="35">
        <f t="shared" si="5"/>
        <v>82921902.65</v>
      </c>
      <c r="S60" s="37">
        <f t="shared" si="6"/>
        <v>82921902.65</v>
      </c>
      <c r="T60" s="35">
        <f>IF(B60&gt;=Calculator!$H$7,T59*(1+Calculator!$H$3)-E60,FV(Calculator!$H$1,B60+Calculator!$H$8-Calculator!$B$2, -Calculator!$C$17,-Calculator!$C$13))</f>
        <v>35476156.14</v>
      </c>
      <c r="U60" s="35">
        <f>IF(B60&gt;=Calculator!$H$7,U59*(1+Calculator!$H$3)-F60,FV(Calculator!$H$1,B60+Calculator!$H$8-Calculator!$B$2, -Calculator!$D$17,-Calculator!$D$13))</f>
        <v>3388301.647</v>
      </c>
      <c r="V60" s="35">
        <f>IF(B60&gt;=Calculator!$H$7,V59*(1+Calculator!$H$3)-G60,FV(Calculator!$H$1,B60+Calculator!$H$8-Calculator!$B$2, -Calculator!$E$17,-Calculator!$E$13))</f>
        <v>14225796.8</v>
      </c>
      <c r="W60" s="35">
        <f>IF(B60&gt;=Calculator!$H$7,W59*(1+Calculator!$H$3)-H60,FV(Calculator!$H$1,B60+Calculator!$H$8-Calculator!$B$2, -Calculator!$F$17,-Calculator!$F$13))+P60</f>
        <v>29831648.06</v>
      </c>
      <c r="X60" s="37">
        <f t="shared" si="12"/>
        <v>3179690.085</v>
      </c>
      <c r="Y60" s="37">
        <f>Y59*(1+Calculator!$H$6)</f>
        <v>233797.7615</v>
      </c>
      <c r="Z60" s="37">
        <f t="shared" si="8"/>
        <v>395278.8911</v>
      </c>
      <c r="AA60" s="37">
        <f t="shared" si="9"/>
        <v>2784411.194</v>
      </c>
      <c r="AB60" s="37">
        <f>AA60*Calculator!$H$5</f>
        <v>556882.2388</v>
      </c>
      <c r="AC60" s="37">
        <f t="shared" si="10"/>
        <v>15.57726074</v>
      </c>
      <c r="AD60" s="37">
        <f t="shared" si="13"/>
        <v>3075084.474</v>
      </c>
      <c r="AE60" s="36"/>
      <c r="AF60" s="36"/>
      <c r="AG60" s="36"/>
      <c r="AH60" s="36"/>
      <c r="AI60" s="36"/>
      <c r="AJ60" s="36"/>
      <c r="AK60" s="36"/>
    </row>
    <row r="61">
      <c r="A61" s="30">
        <v>2079.0</v>
      </c>
      <c r="B61" s="30">
        <f>A61-Calculator!$H$8</f>
        <v>106</v>
      </c>
      <c r="C61" s="36"/>
      <c r="D61" s="32">
        <f>IF(D60=0,IF(B61&gt;=Calculator!$H$10,Calculator!$H$11,0)*Calculator!$H$17,D60*(1+Calculator!$H$6))</f>
        <v>224660.6031</v>
      </c>
      <c r="E61" s="33">
        <f>IF(B61&gt;=Calculator!$H$9,T60*Calculator!$H$14,0)</f>
        <v>1419046.246</v>
      </c>
      <c r="F61" s="33">
        <f>IF(B61&gt;=Calculator!$H$9,U60*Calculator!$H$14,0)</f>
        <v>135532.0659</v>
      </c>
      <c r="G61" s="33">
        <f>IF(B61&gt;=Calculator!$H$7,V60*Calculator!$H$14,0)</f>
        <v>569031.8719</v>
      </c>
      <c r="H61" s="33">
        <f>IF(B61&gt;=Calculator!$H$7,IF(W60&lt;=0,0,W60*Calculator!$H$14),0)</f>
        <v>1193265.922</v>
      </c>
      <c r="I61" s="32">
        <f>IF(I60=0,IF(B61&gt;=Calculator!$H$7,Calculator!$H$12,0),I60*(1+Calculator!$H$6))</f>
        <v>0</v>
      </c>
      <c r="J61" s="34">
        <f>(D61*0.85+E61+H61+I61)*(1-Calculator!$H$5)+D61*0.15+(G61)*(1-Calculator!$H$4)+F61</f>
        <v>2923978.786</v>
      </c>
      <c r="K61" s="38">
        <f t="shared" si="1"/>
        <v>3541536.709</v>
      </c>
      <c r="L61" s="38">
        <f t="shared" si="2"/>
        <v>2942811.946</v>
      </c>
      <c r="M61" s="38">
        <f>IF(B61=Calculator!$C$2,Calculator!$B$8,M60*(1+Calculator!$H$6))</f>
        <v>1055214.898</v>
      </c>
      <c r="N61" s="32"/>
      <c r="O61" s="34">
        <f t="shared" si="3"/>
        <v>1055214.898</v>
      </c>
      <c r="P61" s="34">
        <f t="shared" si="4"/>
        <v>1887597.048</v>
      </c>
      <c r="Q61" s="34">
        <f>IF(Calculator!$H$18="Y",Q60+IF(Q60&lt;0,Q60*Calculator!$H$2,Q60*Calculator!$H$3)+P61,0)</f>
        <v>0</v>
      </c>
      <c r="R61" s="35">
        <f t="shared" si="5"/>
        <v>88955594.83</v>
      </c>
      <c r="S61" s="37">
        <f t="shared" si="6"/>
        <v>88955594.83</v>
      </c>
      <c r="T61" s="35">
        <f>IF(B61&gt;=Calculator!$H$7,T60*(1+Calculator!$H$3)-E61,FV(Calculator!$H$1,B61+Calculator!$H$8-Calculator!$B$2, -Calculator!$C$17,-Calculator!$C$13))</f>
        <v>37249963.95</v>
      </c>
      <c r="U61" s="35">
        <f>IF(B61&gt;=Calculator!$H$7,U60*(1+Calculator!$H$3)-F61,FV(Calculator!$H$1,B61+Calculator!$H$8-Calculator!$B$2, -Calculator!$D$17,-Calculator!$D$13))</f>
        <v>3557716.73</v>
      </c>
      <c r="V61" s="35">
        <f>IF(B61&gt;=Calculator!$H$7,V60*(1+Calculator!$H$3)-G61,FV(Calculator!$H$1,B61+Calculator!$H$8-Calculator!$B$2, -Calculator!$E$17,-Calculator!$E$13))</f>
        <v>14937086.64</v>
      </c>
      <c r="W61" s="35">
        <f>IF(B61&gt;=Calculator!$H$7,W60*(1+Calculator!$H$3)-H61,FV(Calculator!$H$1,B61+Calculator!$H$8-Calculator!$B$2, -Calculator!$F$17,-Calculator!$F$13))+P61</f>
        <v>33210827.51</v>
      </c>
      <c r="X61" s="37">
        <f t="shared" si="12"/>
        <v>3406004.643</v>
      </c>
      <c r="Y61" s="37">
        <f>Y60*(1+Calculator!$H$6)</f>
        <v>243149.672</v>
      </c>
      <c r="Z61" s="37">
        <f t="shared" si="8"/>
        <v>412380.8283</v>
      </c>
      <c r="AA61" s="37">
        <f t="shared" si="9"/>
        <v>2993623.815</v>
      </c>
      <c r="AB61" s="37">
        <f>AA61*Calculator!$H$5</f>
        <v>598724.763</v>
      </c>
      <c r="AC61" s="37">
        <f t="shared" si="10"/>
        <v>15.68005031</v>
      </c>
      <c r="AD61" s="37">
        <f t="shared" si="13"/>
        <v>3379179.451</v>
      </c>
      <c r="AE61" s="36"/>
      <c r="AF61" s="36"/>
      <c r="AG61" s="36"/>
      <c r="AH61" s="36"/>
      <c r="AI61" s="36"/>
      <c r="AJ61" s="36"/>
      <c r="AK61" s="36"/>
    </row>
    <row r="62">
      <c r="A62" s="30">
        <v>2080.0</v>
      </c>
      <c r="B62" s="30">
        <f>A62-Calculator!$H$8</f>
        <v>107</v>
      </c>
      <c r="C62" s="36"/>
      <c r="D62" s="32">
        <f>IF(D61=0,IF(B62&gt;=Calculator!$H$10,Calculator!$H$11,0)*Calculator!$H$17,D61*(1+Calculator!$H$6))</f>
        <v>233647.0273</v>
      </c>
      <c r="E62" s="33">
        <f>IF(B62&gt;=Calculator!$H$9,T61*Calculator!$H$14,0)</f>
        <v>1489998.558</v>
      </c>
      <c r="F62" s="33">
        <f>IF(B62&gt;=Calculator!$H$9,U61*Calculator!$H$14,0)</f>
        <v>142308.6692</v>
      </c>
      <c r="G62" s="33">
        <f>IF(B62&gt;=Calculator!$H$7,V61*Calculator!$H$14,0)</f>
        <v>597483.4655</v>
      </c>
      <c r="H62" s="33">
        <f>IF(B62&gt;=Calculator!$H$7,IF(W61&lt;=0,0,W61*Calculator!$H$14),0)</f>
        <v>1328433.1</v>
      </c>
      <c r="I62" s="32">
        <f>IF(I61=0,IF(B62&gt;=Calculator!$H$7,Calculator!$H$12,0),I61*(1+Calculator!$H$6))</f>
        <v>0</v>
      </c>
      <c r="J62" s="34">
        <f>(D62*0.85+E62+H62+I62)*(1-Calculator!$H$5)+D62*0.15+(G62)*(1-Calculator!$H$4)+F62</f>
        <v>3128716.147</v>
      </c>
      <c r="K62" s="38">
        <f t="shared" si="1"/>
        <v>3791870.82</v>
      </c>
      <c r="L62" s="38">
        <f t="shared" si="2"/>
        <v>3148004.667</v>
      </c>
      <c r="M62" s="38">
        <f>IF(B62=Calculator!$C$2,Calculator!$B$8,M61*(1+Calculator!$H$6))</f>
        <v>1097423.494</v>
      </c>
      <c r="N62" s="32"/>
      <c r="O62" s="34">
        <f t="shared" si="3"/>
        <v>1097423.494</v>
      </c>
      <c r="P62" s="34">
        <f t="shared" si="4"/>
        <v>2050581.173</v>
      </c>
      <c r="Q62" s="34">
        <f>IF(Calculator!$H$18="Y",Q61+IF(Q61&lt;0,Q61*Calculator!$H$2,Q61*Calculator!$H$3)+P62,0)</f>
        <v>0</v>
      </c>
      <c r="R62" s="35">
        <f t="shared" si="5"/>
        <v>95453955.74</v>
      </c>
      <c r="S62" s="37">
        <f t="shared" si="6"/>
        <v>95453955.74</v>
      </c>
      <c r="T62" s="35">
        <f>IF(B62&gt;=Calculator!$H$7,T61*(1+Calculator!$H$3)-E62,FV(Calculator!$H$1,B62+Calculator!$H$8-Calculator!$B$2, -Calculator!$C$17,-Calculator!$C$13))</f>
        <v>39112462.15</v>
      </c>
      <c r="U62" s="35">
        <f>IF(B62&gt;=Calculator!$H$7,U61*(1+Calculator!$H$3)-F62,FV(Calculator!$H$1,B62+Calculator!$H$8-Calculator!$B$2, -Calculator!$D$17,-Calculator!$D$13))</f>
        <v>3735602.566</v>
      </c>
      <c r="V62" s="35">
        <f>IF(B62&gt;=Calculator!$H$7,V61*(1+Calculator!$H$3)-G62,FV(Calculator!$H$1,B62+Calculator!$H$8-Calculator!$B$2, -Calculator!$E$17,-Calculator!$E$13))</f>
        <v>15683940.97</v>
      </c>
      <c r="W62" s="35">
        <f>IF(B62&gt;=Calculator!$H$7,W61*(1+Calculator!$H$3)-H62,FV(Calculator!$H$1,B62+Calculator!$H$8-Calculator!$B$2, -Calculator!$F$17,-Calculator!$F$13))+P62</f>
        <v>36921950.06</v>
      </c>
      <c r="X62" s="37">
        <f t="shared" si="12"/>
        <v>3649562.151</v>
      </c>
      <c r="Y62" s="37">
        <f>Y61*(1+Calculator!$H$6)</f>
        <v>252875.6588</v>
      </c>
      <c r="Z62" s="37">
        <f t="shared" si="8"/>
        <v>430231.3821</v>
      </c>
      <c r="AA62" s="37">
        <f t="shared" si="9"/>
        <v>3219330.769</v>
      </c>
      <c r="AB62" s="37">
        <f>AA62*Calculator!$H$5</f>
        <v>643866.1538</v>
      </c>
      <c r="AC62" s="37">
        <f t="shared" si="10"/>
        <v>15.78183181</v>
      </c>
      <c r="AD62" s="37">
        <f t="shared" si="13"/>
        <v>3711122.548</v>
      </c>
      <c r="AE62" s="36"/>
      <c r="AF62" s="36"/>
      <c r="AG62" s="36"/>
      <c r="AH62" s="36"/>
      <c r="AI62" s="36"/>
      <c r="AJ62" s="36"/>
      <c r="AK62" s="36"/>
    </row>
    <row r="63">
      <c r="A63" s="30">
        <v>2081.0</v>
      </c>
      <c r="B63" s="30">
        <f>A63-Calculator!$H$8</f>
        <v>108</v>
      </c>
      <c r="C63" s="36"/>
      <c r="D63" s="32">
        <f>IF(D62=0,IF(B63&gt;=Calculator!$H$10,Calculator!$H$11,0)*Calculator!$H$17,D62*(1+Calculator!$H$6))</f>
        <v>242992.9083</v>
      </c>
      <c r="E63" s="33">
        <f>IF(B63&gt;=Calculator!$H$9,T62*Calculator!$H$14,0)</f>
        <v>1564498.486</v>
      </c>
      <c r="F63" s="33">
        <f>IF(B63&gt;=Calculator!$H$9,U62*Calculator!$H$14,0)</f>
        <v>149424.1026</v>
      </c>
      <c r="G63" s="33">
        <f>IF(B63&gt;=Calculator!$H$7,V62*Calculator!$H$14,0)</f>
        <v>627357.6388</v>
      </c>
      <c r="H63" s="33">
        <f>IF(B63&gt;=Calculator!$H$7,IF(W62&lt;=0,0,W62*Calculator!$H$14),0)</f>
        <v>1476878.002</v>
      </c>
      <c r="I63" s="32">
        <f>IF(I62=0,IF(B63&gt;=Calculator!$H$7,Calculator!$H$12,0),I62*(1+Calculator!$H$6))</f>
        <v>0</v>
      </c>
      <c r="J63" s="34">
        <f>(D63*0.85+E63+H63+I63)*(1-Calculator!$H$5)+D63*0.15+(G63)*(1-Calculator!$H$4)+F63</f>
        <v>3348831.282</v>
      </c>
      <c r="K63" s="38">
        <f t="shared" si="1"/>
        <v>4061151.138</v>
      </c>
      <c r="L63" s="38">
        <f t="shared" si="2"/>
        <v>3368578.476</v>
      </c>
      <c r="M63" s="38">
        <f>IF(B63=Calculator!$C$2,Calculator!$B$8,M62*(1+Calculator!$H$6))</f>
        <v>1141320.433</v>
      </c>
      <c r="N63" s="32"/>
      <c r="O63" s="34">
        <f t="shared" si="3"/>
        <v>1141320.433</v>
      </c>
      <c r="P63" s="34">
        <f t="shared" si="4"/>
        <v>2227258.042</v>
      </c>
      <c r="Q63" s="34">
        <f>IF(Calculator!$H$18="Y",Q62+IF(Q62&lt;0,Q62*Calculator!$H$2,Q62*Calculator!$H$3)+P63,0)</f>
        <v>0</v>
      </c>
      <c r="R63" s="35">
        <f t="shared" si="5"/>
        <v>102453911.6</v>
      </c>
      <c r="S63" s="37">
        <f t="shared" si="6"/>
        <v>102453911.6</v>
      </c>
      <c r="T63" s="35">
        <f>IF(B63&gt;=Calculator!$H$7,T62*(1+Calculator!$H$3)-E63,FV(Calculator!$H$1,B63+Calculator!$H$8-Calculator!$B$2, -Calculator!$C$17,-Calculator!$C$13))</f>
        <v>41068085.25</v>
      </c>
      <c r="U63" s="35">
        <f>IF(B63&gt;=Calculator!$H$7,U62*(1+Calculator!$H$3)-F63,FV(Calculator!$H$1,B63+Calculator!$H$8-Calculator!$B$2, -Calculator!$D$17,-Calculator!$D$13))</f>
        <v>3922382.694</v>
      </c>
      <c r="V63" s="35">
        <f>IF(B63&gt;=Calculator!$H$7,V62*(1+Calculator!$H$3)-G63,FV(Calculator!$H$1,B63+Calculator!$H$8-Calculator!$B$2, -Calculator!$E$17,-Calculator!$E$13))</f>
        <v>16468138.02</v>
      </c>
      <c r="W63" s="35">
        <f>IF(B63&gt;=Calculator!$H$7,W62*(1+Calculator!$H$3)-H63,FV(Calculator!$H$1,B63+Calculator!$H$8-Calculator!$B$2, -Calculator!$F$17,-Calculator!$F$13))+P63</f>
        <v>40995305.6</v>
      </c>
      <c r="X63" s="37">
        <f t="shared" si="12"/>
        <v>3911727.035</v>
      </c>
      <c r="Y63" s="37">
        <f>Y62*(1+Calculator!$H$6)</f>
        <v>262990.6852</v>
      </c>
      <c r="Z63" s="37">
        <f t="shared" si="8"/>
        <v>448863.7241</v>
      </c>
      <c r="AA63" s="37">
        <f t="shared" si="9"/>
        <v>3462863.311</v>
      </c>
      <c r="AB63" s="37">
        <f>AA63*Calculator!$H$5</f>
        <v>692572.6623</v>
      </c>
      <c r="AC63" s="37">
        <f t="shared" si="10"/>
        <v>15.88254208</v>
      </c>
      <c r="AD63" s="37">
        <f t="shared" si="13"/>
        <v>4073355.545</v>
      </c>
      <c r="AE63" s="36"/>
      <c r="AF63" s="36"/>
      <c r="AG63" s="36"/>
      <c r="AH63" s="36"/>
      <c r="AI63" s="36"/>
      <c r="AJ63" s="36"/>
      <c r="AK63" s="36"/>
    </row>
    <row r="64">
      <c r="A64" s="30">
        <v>2082.0</v>
      </c>
      <c r="B64" s="30">
        <f>A64-Calculator!$H$8</f>
        <v>109</v>
      </c>
      <c r="C64" s="36"/>
      <c r="D64" s="32">
        <f>IF(D63=0,IF(B64&gt;=Calculator!$H$10,Calculator!$H$11,0)*Calculator!$H$17,D63*(1+Calculator!$H$6))</f>
        <v>252712.6247</v>
      </c>
      <c r="E64" s="33">
        <f>IF(B64&gt;=Calculator!$H$9,T63*Calculator!$H$14,0)</f>
        <v>1642723.41</v>
      </c>
      <c r="F64" s="33">
        <f>IF(B64&gt;=Calculator!$H$9,U63*Calculator!$H$14,0)</f>
        <v>156895.3078</v>
      </c>
      <c r="G64" s="33">
        <f>IF(B64&gt;=Calculator!$H$7,V63*Calculator!$H$14,0)</f>
        <v>658725.5208</v>
      </c>
      <c r="H64" s="33">
        <f>IF(B64&gt;=Calculator!$H$7,IF(W63&lt;=0,0,W63*Calculator!$H$14),0)</f>
        <v>1639812.224</v>
      </c>
      <c r="I64" s="32">
        <f>IF(I63=0,IF(B64&gt;=Calculator!$H$7,Calculator!$H$12,0),I63*(1+Calculator!$H$6))</f>
        <v>0</v>
      </c>
      <c r="J64" s="34">
        <f>(D64*0.85+E64+H64+I64)*(1-Calculator!$H$5)+D64*0.15+(G64)*(1-Calculator!$H$4)+F64</f>
        <v>3585528.262</v>
      </c>
      <c r="K64" s="38">
        <f t="shared" si="1"/>
        <v>4350869.087</v>
      </c>
      <c r="L64" s="38">
        <f t="shared" si="2"/>
        <v>3605736.834</v>
      </c>
      <c r="M64" s="38">
        <f>IF(B64=Calculator!$C$2,Calculator!$B$8,M63*(1+Calculator!$H$6))</f>
        <v>1186973.251</v>
      </c>
      <c r="N64" s="32"/>
      <c r="O64" s="34">
        <f t="shared" si="3"/>
        <v>1186973.251</v>
      </c>
      <c r="P64" s="34">
        <f t="shared" si="4"/>
        <v>2418763.584</v>
      </c>
      <c r="Q64" s="34">
        <f>IF(Calculator!$H$18="Y",Q63+IF(Q63&lt;0,Q63*Calculator!$H$2,Q63*Calculator!$H$3)+P64,0)</f>
        <v>0</v>
      </c>
      <c r="R64" s="35">
        <f t="shared" si="5"/>
        <v>109995370.7</v>
      </c>
      <c r="S64" s="37">
        <f t="shared" si="6"/>
        <v>109995370.7</v>
      </c>
      <c r="T64" s="35">
        <f>IF(B64&gt;=Calculator!$H$7,T63*(1+Calculator!$H$3)-E64,FV(Calculator!$H$1,B64+Calculator!$H$8-Calculator!$B$2, -Calculator!$C$17,-Calculator!$C$13))</f>
        <v>43121489.52</v>
      </c>
      <c r="U64" s="35">
        <f>IF(B64&gt;=Calculator!$H$7,U63*(1+Calculator!$H$3)-F64,FV(Calculator!$H$1,B64+Calculator!$H$8-Calculator!$B$2, -Calculator!$D$17,-Calculator!$D$13))</f>
        <v>4118501.829</v>
      </c>
      <c r="V64" s="35">
        <f>IF(B64&gt;=Calculator!$H$7,V63*(1+Calculator!$H$3)-G64,FV(Calculator!$H$1,B64+Calculator!$H$8-Calculator!$B$2, -Calculator!$E$17,-Calculator!$E$13))</f>
        <v>17291544.92</v>
      </c>
      <c r="W64" s="35">
        <f>IF(B64&gt;=Calculator!$H$7,W63*(1+Calculator!$H$3)-H64,FV(Calculator!$H$1,B64+Calculator!$H$8-Calculator!$B$2, -Calculator!$F$17,-Calculator!$F$13))+P64</f>
        <v>45463834.47</v>
      </c>
      <c r="X64" s="37">
        <f t="shared" si="12"/>
        <v>4193973.78</v>
      </c>
      <c r="Y64" s="37">
        <f>Y63*(1+Calculator!$H$6)</f>
        <v>273510.3126</v>
      </c>
      <c r="Z64" s="37">
        <f t="shared" si="8"/>
        <v>468312.5141</v>
      </c>
      <c r="AA64" s="37">
        <f t="shared" si="9"/>
        <v>3725661.266</v>
      </c>
      <c r="AB64" s="37">
        <f>AA64*Calculator!$H$5</f>
        <v>745132.2531</v>
      </c>
      <c r="AC64" s="37">
        <f t="shared" si="10"/>
        <v>15.98212135</v>
      </c>
      <c r="AD64" s="37">
        <f t="shared" si="13"/>
        <v>4468528.864</v>
      </c>
      <c r="AE64" s="36"/>
      <c r="AF64" s="36"/>
      <c r="AG64" s="36"/>
      <c r="AH64" s="36"/>
      <c r="AI64" s="36"/>
      <c r="AJ64" s="36"/>
      <c r="AK64" s="36"/>
    </row>
    <row r="65">
      <c r="A65" s="30">
        <v>2083.0</v>
      </c>
      <c r="B65" s="30">
        <f>A65-Calculator!$H$8</f>
        <v>110</v>
      </c>
      <c r="C65" s="36"/>
      <c r="D65" s="32">
        <f>IF(D64=0,IF(B65&gt;=Calculator!$H$10,Calculator!$H$11,0)*Calculator!$H$17,D64*(1+Calculator!$H$6))</f>
        <v>262821.1297</v>
      </c>
      <c r="E65" s="33">
        <f>IF(B65&gt;=Calculator!$H$9,T64*Calculator!$H$14,0)</f>
        <v>1724859.581</v>
      </c>
      <c r="F65" s="33">
        <f>IF(B65&gt;=Calculator!$H$9,U64*Calculator!$H$14,0)</f>
        <v>164740.0732</v>
      </c>
      <c r="G65" s="33">
        <f>IF(B65&gt;=Calculator!$H$7,V64*Calculator!$H$14,0)</f>
        <v>691661.7968</v>
      </c>
      <c r="H65" s="33">
        <f>IF(B65&gt;=Calculator!$H$7,IF(W64&lt;=0,0,W64*Calculator!$H$14),0)</f>
        <v>1818553.379</v>
      </c>
      <c r="I65" s="32">
        <f>IF(I64=0,IF(B65&gt;=Calculator!$H$7,Calculator!$H$12,0),I64*(1+Calculator!$H$6))</f>
        <v>0</v>
      </c>
      <c r="J65" s="34">
        <f>(D65*0.85+E65+H65+I65)*(1-Calculator!$H$5)+D65*0.15+(G65)*(1-Calculator!$H$4)+F65</f>
        <v>3840107.595</v>
      </c>
      <c r="K65" s="38">
        <f t="shared" si="1"/>
        <v>4662635.959</v>
      </c>
      <c r="L65" s="38">
        <f t="shared" si="2"/>
        <v>3860779.575</v>
      </c>
      <c r="M65" s="38">
        <f>IF(B65=Calculator!$C$2,Calculator!$B$8,M64*(1+Calculator!$H$6))</f>
        <v>1234452.181</v>
      </c>
      <c r="N65" s="32"/>
      <c r="O65" s="34">
        <f t="shared" si="3"/>
        <v>1234452.181</v>
      </c>
      <c r="P65" s="34">
        <f t="shared" si="4"/>
        <v>2626327.395</v>
      </c>
      <c r="Q65" s="34">
        <f>IF(Calculator!$H$18="Y",Q64+IF(Q64&lt;0,Q64*Calculator!$H$2,Q64*Calculator!$H$3)+P65,0)</f>
        <v>0</v>
      </c>
      <c r="R65" s="35">
        <f t="shared" si="5"/>
        <v>118121466.7</v>
      </c>
      <c r="S65" s="37">
        <f t="shared" si="6"/>
        <v>118121466.7</v>
      </c>
      <c r="T65" s="35">
        <f>IF(B65&gt;=Calculator!$H$7,T64*(1+Calculator!$H$3)-E65,FV(Calculator!$H$1,B65+Calculator!$H$8-Calculator!$B$2, -Calculator!$C$17,-Calculator!$C$13))</f>
        <v>45277563.99</v>
      </c>
      <c r="U65" s="35">
        <f>IF(B65&gt;=Calculator!$H$7,U64*(1+Calculator!$H$3)-F65,FV(Calculator!$H$1,B65+Calculator!$H$8-Calculator!$B$2, -Calculator!$D$17,-Calculator!$D$13))</f>
        <v>4324426.92</v>
      </c>
      <c r="V65" s="35">
        <f>IF(B65&gt;=Calculator!$H$7,V64*(1+Calculator!$H$3)-G65,FV(Calculator!$H$1,B65+Calculator!$H$8-Calculator!$B$2, -Calculator!$E$17,-Calculator!$E$13))</f>
        <v>18156122.17</v>
      </c>
      <c r="W65" s="35">
        <f>IF(B65&gt;=Calculator!$H$7,W64*(1+Calculator!$H$3)-H65,FV(Calculator!$H$1,B65+Calculator!$H$8-Calculator!$B$2, -Calculator!$F$17,-Calculator!$F$13))+P65</f>
        <v>50363353.59</v>
      </c>
      <c r="X65" s="37">
        <f t="shared" si="12"/>
        <v>4497895.886</v>
      </c>
      <c r="Y65" s="37">
        <f>Y64*(1+Calculator!$H$6)</f>
        <v>284450.7251</v>
      </c>
      <c r="Z65" s="37">
        <f t="shared" si="8"/>
        <v>488613.9677</v>
      </c>
      <c r="AA65" s="37">
        <f t="shared" si="9"/>
        <v>4009281.918</v>
      </c>
      <c r="AB65" s="37">
        <f>AA65*Calculator!$H$5</f>
        <v>801856.3836</v>
      </c>
      <c r="AC65" s="37">
        <f t="shared" si="10"/>
        <v>16.08051337</v>
      </c>
      <c r="AD65" s="37">
        <f t="shared" si="13"/>
        <v>4899519.118</v>
      </c>
      <c r="AE65" s="36"/>
      <c r="AF65" s="36"/>
      <c r="AG65" s="36"/>
      <c r="AH65" s="36"/>
      <c r="AI65" s="36"/>
      <c r="AJ65" s="36"/>
      <c r="AK65" s="36"/>
    </row>
    <row r="66">
      <c r="A66" s="30">
        <v>2084.0</v>
      </c>
      <c r="B66" s="30">
        <f>A66-Calculator!$H$8</f>
        <v>111</v>
      </c>
      <c r="C66" s="36"/>
      <c r="D66" s="32">
        <f>IF(D65=0,IF(B66&gt;=Calculator!$H$10,Calculator!$H$11,0)*Calculator!$H$17,D65*(1+Calculator!$H$6))</f>
        <v>273333.9749</v>
      </c>
      <c r="E66" s="33">
        <f>IF(B66&gt;=Calculator!$H$9,T65*Calculator!$H$14,0)</f>
        <v>1811102.56</v>
      </c>
      <c r="F66" s="33">
        <f>IF(B66&gt;=Calculator!$H$9,U65*Calculator!$H$14,0)</f>
        <v>172977.0768</v>
      </c>
      <c r="G66" s="33">
        <f>IF(B66&gt;=Calculator!$H$7,V65*Calculator!$H$14,0)</f>
        <v>726244.8866</v>
      </c>
      <c r="H66" s="33">
        <f>IF(B66&gt;=Calculator!$H$7,IF(W65&lt;=0,0,W65*Calculator!$H$14),0)</f>
        <v>2014534.143</v>
      </c>
      <c r="I66" s="32">
        <f>IF(I65=0,IF(B66&gt;=Calculator!$H$7,Calculator!$H$12,0),I65*(1+Calculator!$H$6))</f>
        <v>0</v>
      </c>
      <c r="J66" s="34">
        <f>(D66*0.85+E66+H66+I66)*(1-Calculator!$H$5)+D66*0.15+(G66)*(1-Calculator!$H$4)+F66</f>
        <v>4113974.036</v>
      </c>
      <c r="K66" s="38">
        <f t="shared" si="1"/>
        <v>4998192.641</v>
      </c>
      <c r="L66" s="38">
        <f t="shared" si="2"/>
        <v>4135110.714</v>
      </c>
      <c r="M66" s="38">
        <f>IF(B66=Calculator!$C$2,Calculator!$B$8,M65*(1+Calculator!$H$6))</f>
        <v>1283830.268</v>
      </c>
      <c r="N66" s="32"/>
      <c r="O66" s="34">
        <f t="shared" si="3"/>
        <v>1283830.268</v>
      </c>
      <c r="P66" s="34">
        <f t="shared" si="4"/>
        <v>2851280.446</v>
      </c>
      <c r="Q66" s="34">
        <f>IF(Calculator!$H$18="Y",Q65+IF(Q65&lt;0,Q65*Calculator!$H$2,Q65*Calculator!$H$3)+P66,0)</f>
        <v>0</v>
      </c>
      <c r="R66" s="35">
        <f t="shared" si="5"/>
        <v>126878820.4</v>
      </c>
      <c r="S66" s="37">
        <f t="shared" si="6"/>
        <v>126878820.4</v>
      </c>
      <c r="T66" s="35">
        <f>IF(B66&gt;=Calculator!$H$7,T65*(1+Calculator!$H$3)-E66,FV(Calculator!$H$1,B66+Calculator!$H$8-Calculator!$B$2, -Calculator!$C$17,-Calculator!$C$13))</f>
        <v>47541442.19</v>
      </c>
      <c r="U66" s="35">
        <f>IF(B66&gt;=Calculator!$H$7,U65*(1+Calculator!$H$3)-F66,FV(Calculator!$H$1,B66+Calculator!$H$8-Calculator!$B$2, -Calculator!$D$17,-Calculator!$D$13))</f>
        <v>4540648.266</v>
      </c>
      <c r="V66" s="35">
        <f>IF(B66&gt;=Calculator!$H$7,V65*(1+Calculator!$H$3)-G66,FV(Calculator!$H$1,B66+Calculator!$H$8-Calculator!$B$2, -Calculator!$E$17,-Calculator!$E$13))</f>
        <v>19063928.27</v>
      </c>
      <c r="W66" s="35">
        <f>IF(B66&gt;=Calculator!$H$7,W65*(1+Calculator!$H$3)-H66,FV(Calculator!$H$1,B66+Calculator!$H$8-Calculator!$B$2, -Calculator!$F$17,-Calculator!$F$13))+P66</f>
        <v>55732801.71</v>
      </c>
      <c r="X66" s="37">
        <f t="shared" si="12"/>
        <v>4825215.565</v>
      </c>
      <c r="Y66" s="37">
        <f>Y65*(1+Calculator!$H$6)</f>
        <v>295828.7541</v>
      </c>
      <c r="Z66" s="37">
        <f t="shared" si="8"/>
        <v>509805.9272</v>
      </c>
      <c r="AA66" s="37">
        <f t="shared" si="9"/>
        <v>4315409.637</v>
      </c>
      <c r="AB66" s="37">
        <f>AA66*Calculator!$H$5</f>
        <v>863081.9275</v>
      </c>
      <c r="AC66" s="37">
        <f t="shared" si="10"/>
        <v>16.17766543</v>
      </c>
      <c r="AD66" s="37">
        <f t="shared" si="13"/>
        <v>5369448.125</v>
      </c>
      <c r="AE66" s="36"/>
      <c r="AF66" s="36"/>
      <c r="AG66" s="36"/>
      <c r="AH66" s="36"/>
      <c r="AI66" s="36"/>
      <c r="AJ66" s="36"/>
      <c r="AK66" s="36"/>
    </row>
    <row r="67">
      <c r="A67" s="30">
        <v>2085.0</v>
      </c>
      <c r="B67" s="30">
        <f>A67-Calculator!$H$8</f>
        <v>112</v>
      </c>
      <c r="C67" s="36"/>
      <c r="D67" s="32">
        <f>IF(D66=0,IF(B67&gt;=Calculator!$H$10,Calculator!$H$11,0)*Calculator!$H$17,D66*(1+Calculator!$H$6))</f>
        <v>284267.3339</v>
      </c>
      <c r="E67" s="33">
        <f>IF(B67&gt;=Calculator!$H$9,T66*Calculator!$H$14,0)</f>
        <v>1901657.688</v>
      </c>
      <c r="F67" s="33">
        <f>IF(B67&gt;=Calculator!$H$9,U66*Calculator!$H$14,0)</f>
        <v>181625.9307</v>
      </c>
      <c r="G67" s="33">
        <f>IF(B67&gt;=Calculator!$H$7,V66*Calculator!$H$14,0)</f>
        <v>762557.131</v>
      </c>
      <c r="H67" s="33">
        <f>IF(B67&gt;=Calculator!$H$7,IF(W66&lt;=0,0,W66*Calculator!$H$14),0)</f>
        <v>2229312.068</v>
      </c>
      <c r="I67" s="32">
        <f>IF(I66=0,IF(B67&gt;=Calculator!$H$7,Calculator!$H$12,0),I66*(1+Calculator!$H$6))</f>
        <v>0</v>
      </c>
      <c r="J67" s="34">
        <f>(D67*0.85+E67+H67+I67)*(1-Calculator!$H$5)+D67*0.15+(G67)*(1-Calculator!$H$4)+F67</f>
        <v>4408645.04</v>
      </c>
      <c r="K67" s="38">
        <f t="shared" si="1"/>
        <v>5359420.152</v>
      </c>
      <c r="L67" s="38">
        <f t="shared" si="2"/>
        <v>4430246.894</v>
      </c>
      <c r="M67" s="38">
        <f>IF(B67=Calculator!$C$2,Calculator!$B$8,M66*(1+Calculator!$H$6))</f>
        <v>1335183.479</v>
      </c>
      <c r="N67" s="32"/>
      <c r="O67" s="34">
        <f t="shared" si="3"/>
        <v>1335183.479</v>
      </c>
      <c r="P67" s="34">
        <f t="shared" si="4"/>
        <v>3095063.416</v>
      </c>
      <c r="Q67" s="34">
        <f>IF(Calculator!$H$18="Y",Q66+IF(Q66&lt;0,Q66*Calculator!$H$2,Q66*Calculator!$H$3)+P67,0)</f>
        <v>0</v>
      </c>
      <c r="R67" s="35">
        <f t="shared" si="5"/>
        <v>136317824.9</v>
      </c>
      <c r="S67" s="37">
        <f t="shared" si="6"/>
        <v>136317824.9</v>
      </c>
      <c r="T67" s="35">
        <f>IF(B67&gt;=Calculator!$H$7,T66*(1+Calculator!$H$3)-E67,FV(Calculator!$H$1,B67+Calculator!$H$8-Calculator!$B$2, -Calculator!$C$17,-Calculator!$C$13))</f>
        <v>49918514.3</v>
      </c>
      <c r="U67" s="35">
        <f>IF(B67&gt;=Calculator!$H$7,U66*(1+Calculator!$H$3)-F67,FV(Calculator!$H$1,B67+Calculator!$H$8-Calculator!$B$2, -Calculator!$D$17,-Calculator!$D$13))</f>
        <v>4767680.68</v>
      </c>
      <c r="V67" s="35">
        <f>IF(B67&gt;=Calculator!$H$7,V66*(1+Calculator!$H$3)-G67,FV(Calculator!$H$1,B67+Calculator!$H$8-Calculator!$B$2, -Calculator!$E$17,-Calculator!$E$13))</f>
        <v>20017124.69</v>
      </c>
      <c r="W67" s="35">
        <f>IF(B67&gt;=Calculator!$H$7,W66*(1+Calculator!$H$3)-H67,FV(Calculator!$H$1,B67+Calculator!$H$8-Calculator!$B$2, -Calculator!$F$17,-Calculator!$F$13))+P67</f>
        <v>61614505.21</v>
      </c>
      <c r="X67" s="37">
        <f t="shared" si="12"/>
        <v>5177794.221</v>
      </c>
      <c r="Y67" s="37">
        <f>Y66*(1+Calculator!$H$6)</f>
        <v>307661.9043</v>
      </c>
      <c r="Z67" s="37">
        <f t="shared" si="8"/>
        <v>531927.935</v>
      </c>
      <c r="AA67" s="37">
        <f t="shared" si="9"/>
        <v>4645866.286</v>
      </c>
      <c r="AB67" s="37">
        <f>AA67*Calculator!$H$5</f>
        <v>929173.2572</v>
      </c>
      <c r="AC67" s="37">
        <f t="shared" si="10"/>
        <v>16.27352841</v>
      </c>
      <c r="AD67" s="37">
        <f t="shared" si="13"/>
        <v>5881703.501</v>
      </c>
      <c r="AE67" s="36"/>
      <c r="AF67" s="36"/>
      <c r="AG67" s="36"/>
      <c r="AH67" s="36"/>
      <c r="AI67" s="36"/>
      <c r="AJ67" s="36"/>
      <c r="AK67" s="36"/>
    </row>
    <row r="68">
      <c r="A68" s="30">
        <v>2086.0</v>
      </c>
      <c r="B68" s="30">
        <f>A68-Calculator!$H$8</f>
        <v>113</v>
      </c>
      <c r="C68" s="36"/>
      <c r="D68" s="32">
        <f>IF(D67=0,IF(B68&gt;=Calculator!$H$10,Calculator!$H$11,0)*Calculator!$H$17,D67*(1+Calculator!$H$6))</f>
        <v>295638.0272</v>
      </c>
      <c r="E68" s="33">
        <f>IF(B68&gt;=Calculator!$H$9,T67*Calculator!$H$14,0)</f>
        <v>1996740.572</v>
      </c>
      <c r="F68" s="33">
        <f>IF(B68&gt;=Calculator!$H$9,U67*Calculator!$H$14,0)</f>
        <v>190707.2272</v>
      </c>
      <c r="G68" s="33">
        <f>IF(B68&gt;=Calculator!$H$7,V67*Calculator!$H$14,0)</f>
        <v>800684.9875</v>
      </c>
      <c r="H68" s="33">
        <f>IF(B68&gt;=Calculator!$H$7,IF(W67&lt;=0,0,W67*Calculator!$H$14),0)</f>
        <v>2464580.209</v>
      </c>
      <c r="I68" s="32">
        <f>IF(I67=0,IF(B68&gt;=Calculator!$H$7,Calculator!$H$12,0),I67*(1+Calculator!$H$6))</f>
        <v>0</v>
      </c>
      <c r="J68" s="34">
        <f>(D68*0.85+E68+H68+I68)*(1-Calculator!$H$5)+D68*0.15+(G68)*(1-Calculator!$H$4)+F68</f>
        <v>4725759.903</v>
      </c>
      <c r="K68" s="38">
        <f t="shared" si="1"/>
        <v>5748351.022</v>
      </c>
      <c r="L68" s="38">
        <f t="shared" si="2"/>
        <v>4747826.526</v>
      </c>
      <c r="M68" s="38">
        <f>IF(B68=Calculator!$C$2,Calculator!$B$8,M67*(1+Calculator!$H$6))</f>
        <v>1388590.818</v>
      </c>
      <c r="N68" s="32"/>
      <c r="O68" s="34">
        <f t="shared" si="3"/>
        <v>1388590.818</v>
      </c>
      <c r="P68" s="34">
        <f t="shared" si="4"/>
        <v>3359235.708</v>
      </c>
      <c r="Q68" s="34">
        <f>IF(Calculator!$H$18="Y",Q67+IF(Q67&lt;0,Q67*Calculator!$H$2,Q67*Calculator!$H$3)+P68,0)</f>
        <v>0</v>
      </c>
      <c r="R68" s="35">
        <f t="shared" si="5"/>
        <v>146492951.8</v>
      </c>
      <c r="S68" s="37">
        <f t="shared" si="6"/>
        <v>146492951.8</v>
      </c>
      <c r="T68" s="35">
        <f>IF(B68&gt;=Calculator!$H$7,T67*(1+Calculator!$H$3)-E68,FV(Calculator!$H$1,B68+Calculator!$H$8-Calculator!$B$2, -Calculator!$C$17,-Calculator!$C$13))</f>
        <v>52414440.02</v>
      </c>
      <c r="U68" s="35">
        <f>IF(B68&gt;=Calculator!$H$7,U67*(1+Calculator!$H$3)-F68,FV(Calculator!$H$1,B68+Calculator!$H$8-Calculator!$B$2, -Calculator!$D$17,-Calculator!$D$13))</f>
        <v>5006064.714</v>
      </c>
      <c r="V68" s="35">
        <f>IF(B68&gt;=Calculator!$H$7,V67*(1+Calculator!$H$3)-G68,FV(Calculator!$H$1,B68+Calculator!$H$8-Calculator!$B$2, -Calculator!$E$17,-Calculator!$E$13))</f>
        <v>21017980.92</v>
      </c>
      <c r="W68" s="35">
        <f>IF(B68&gt;=Calculator!$H$7,W67*(1+Calculator!$H$3)-H68,FV(Calculator!$H$1,B68+Calculator!$H$8-Calculator!$B$2, -Calculator!$F$17,-Calculator!$F$13))+P68</f>
        <v>68054466.18</v>
      </c>
      <c r="X68" s="37">
        <f t="shared" si="12"/>
        <v>5557643.795</v>
      </c>
      <c r="Y68" s="37">
        <f>Y67*(1+Calculator!$H$6)</f>
        <v>319968.3805</v>
      </c>
      <c r="Z68" s="37">
        <f t="shared" si="8"/>
        <v>555021.3117</v>
      </c>
      <c r="AA68" s="37">
        <f t="shared" si="9"/>
        <v>5002622.484</v>
      </c>
      <c r="AB68" s="37">
        <f>AA68*Calculator!$H$5</f>
        <v>1000524.497</v>
      </c>
      <c r="AC68" s="37">
        <f t="shared" si="10"/>
        <v>16.3680568</v>
      </c>
      <c r="AD68" s="37">
        <f t="shared" si="13"/>
        <v>6439960.968</v>
      </c>
      <c r="AE68" s="36"/>
      <c r="AF68" s="36"/>
      <c r="AG68" s="36"/>
      <c r="AH68" s="36"/>
      <c r="AI68" s="36"/>
      <c r="AJ68" s="36"/>
      <c r="AK68" s="36"/>
    </row>
    <row r="69">
      <c r="A69" s="30">
        <v>2087.0</v>
      </c>
      <c r="B69" s="30">
        <f>A69-Calculator!$H$8</f>
        <v>114</v>
      </c>
      <c r="C69" s="36"/>
      <c r="D69" s="32">
        <f>IF(D68=0,IF(B69&gt;=Calculator!$H$10,Calculator!$H$11,0)*Calculator!$H$17,D68*(1+Calculator!$H$6))</f>
        <v>307463.5483</v>
      </c>
      <c r="E69" s="33">
        <f>IF(B69&gt;=Calculator!$H$9,T68*Calculator!$H$14,0)</f>
        <v>2096577.601</v>
      </c>
      <c r="F69" s="33">
        <f>IF(B69&gt;=Calculator!$H$9,U68*Calculator!$H$14,0)</f>
        <v>200242.5886</v>
      </c>
      <c r="G69" s="33">
        <f>IF(B69&gt;=Calculator!$H$7,V68*Calculator!$H$14,0)</f>
        <v>840719.2369</v>
      </c>
      <c r="H69" s="33">
        <f>IF(B69&gt;=Calculator!$H$7,IF(W68&lt;=0,0,W68*Calculator!$H$14),0)</f>
        <v>2722178.647</v>
      </c>
      <c r="I69" s="32">
        <f>IF(I68=0,IF(B69&gt;=Calculator!$H$7,Calculator!$H$12,0),I68*(1+Calculator!$H$6))</f>
        <v>0</v>
      </c>
      <c r="J69" s="34">
        <f>(D69*0.85+E69+H69+I69)*(1-Calculator!$H$5)+D69*0.15+(G69)*(1-Calculator!$H$4)+F69</f>
        <v>5067089.645</v>
      </c>
      <c r="K69" s="38">
        <f t="shared" si="1"/>
        <v>6167181.622</v>
      </c>
      <c r="L69" s="38">
        <f t="shared" si="2"/>
        <v>5089619.662</v>
      </c>
      <c r="M69" s="38">
        <f>IF(B69=Calculator!$C$2,Calculator!$B$8,M68*(1+Calculator!$H$6))</f>
        <v>1444134.451</v>
      </c>
      <c r="N69" s="32"/>
      <c r="O69" s="34">
        <f t="shared" si="3"/>
        <v>1444134.451</v>
      </c>
      <c r="P69" s="34">
        <f t="shared" si="4"/>
        <v>3645485.212</v>
      </c>
      <c r="Q69" s="34">
        <f>IF(Calculator!$H$18="Y",Q68+IF(Q68&lt;0,Q68*Calculator!$H$2,Q68*Calculator!$H$3)+P69,0)</f>
        <v>0</v>
      </c>
      <c r="R69" s="35">
        <f t="shared" si="5"/>
        <v>157463084.6</v>
      </c>
      <c r="S69" s="37">
        <f t="shared" si="6"/>
        <v>157463084.6</v>
      </c>
      <c r="T69" s="35">
        <f>IF(B69&gt;=Calculator!$H$7,T68*(1+Calculator!$H$3)-E69,FV(Calculator!$H$1,B69+Calculator!$H$8-Calculator!$B$2, -Calculator!$C$17,-Calculator!$C$13))</f>
        <v>55035162.02</v>
      </c>
      <c r="U69" s="35">
        <f>IF(B69&gt;=Calculator!$H$7,U68*(1+Calculator!$H$3)-F69,FV(Calculator!$H$1,B69+Calculator!$H$8-Calculator!$B$2, -Calculator!$D$17,-Calculator!$D$13))</f>
        <v>5256367.949</v>
      </c>
      <c r="V69" s="35">
        <f>IF(B69&gt;=Calculator!$H$7,V68*(1+Calculator!$H$3)-G69,FV(Calculator!$H$1,B69+Calculator!$H$8-Calculator!$B$2, -Calculator!$E$17,-Calculator!$E$13))</f>
        <v>22068879.97</v>
      </c>
      <c r="W69" s="35">
        <f>IF(B69&gt;=Calculator!$H$7,W68*(1+Calculator!$H$3)-H69,FV(Calculator!$H$1,B69+Calculator!$H$8-Calculator!$B$2, -Calculator!$F$17,-Calculator!$F$13))+P69</f>
        <v>75102674.7</v>
      </c>
      <c r="X69" s="37">
        <f t="shared" si="12"/>
        <v>5966939.033</v>
      </c>
      <c r="Y69" s="37">
        <f>Y68*(1+Calculator!$H$6)</f>
        <v>332767.1157</v>
      </c>
      <c r="Z69" s="37">
        <f t="shared" si="8"/>
        <v>579129.2365</v>
      </c>
      <c r="AA69" s="37">
        <f t="shared" si="9"/>
        <v>5387809.797</v>
      </c>
      <c r="AB69" s="37">
        <f>AA69*Calculator!$H$5</f>
        <v>1077561.959</v>
      </c>
      <c r="AC69" s="37">
        <f t="shared" si="10"/>
        <v>16.4612087</v>
      </c>
      <c r="AD69" s="37">
        <f t="shared" si="13"/>
        <v>7048208.521</v>
      </c>
      <c r="AE69" s="36"/>
      <c r="AF69" s="36"/>
      <c r="AG69" s="36"/>
      <c r="AH69" s="36"/>
      <c r="AI69" s="36"/>
      <c r="AJ69" s="36"/>
      <c r="AK69" s="36"/>
    </row>
    <row r="70">
      <c r="A70" s="30">
        <v>2088.0</v>
      </c>
      <c r="B70" s="30">
        <f>A70-Calculator!$H$8</f>
        <v>115</v>
      </c>
      <c r="C70" s="36"/>
      <c r="D70" s="32">
        <f>IF(D69=0,IF(B70&gt;=Calculator!$H$10,Calculator!$H$11,0)*Calculator!$H$17,D69*(1+Calculator!$H$6))</f>
        <v>319762.0902</v>
      </c>
      <c r="E70" s="33">
        <f>IF(B70&gt;=Calculator!$H$9,T69*Calculator!$H$14,0)</f>
        <v>2201406.481</v>
      </c>
      <c r="F70" s="33">
        <f>IF(B70&gt;=Calculator!$H$9,U69*Calculator!$H$14,0)</f>
        <v>210254.718</v>
      </c>
      <c r="G70" s="33">
        <f>IF(B70&gt;=Calculator!$H$7,V69*Calculator!$H$14,0)</f>
        <v>882755.1987</v>
      </c>
      <c r="H70" s="33">
        <f>IF(B70&gt;=Calculator!$H$7,IF(W69&lt;=0,0,W69*Calculator!$H$14),0)</f>
        <v>3004106.988</v>
      </c>
      <c r="I70" s="32">
        <f>IF(I69=0,IF(B70&gt;=Calculator!$H$7,Calculator!$H$12,0),I69*(1+Calculator!$H$6))</f>
        <v>0</v>
      </c>
      <c r="J70" s="34">
        <f>(D70*0.85+E70+H70+I70)*(1-Calculator!$H$5)+D70*0.15+(G70)*(1-Calculator!$H$4)+F70</f>
        <v>5434547.707</v>
      </c>
      <c r="K70" s="38">
        <f t="shared" si="1"/>
        <v>6618285.476</v>
      </c>
      <c r="L70" s="38">
        <f t="shared" si="2"/>
        <v>5457538.69</v>
      </c>
      <c r="M70" s="38">
        <f>IF(B70=Calculator!$C$2,Calculator!$B$8,M69*(1+Calculator!$H$6))</f>
        <v>1501899.829</v>
      </c>
      <c r="N70" s="32"/>
      <c r="O70" s="34">
        <f t="shared" si="3"/>
        <v>1501899.829</v>
      </c>
      <c r="P70" s="34">
        <f t="shared" si="4"/>
        <v>3955638.862</v>
      </c>
      <c r="Q70" s="34">
        <f>IF(Calculator!$H$18="Y",Q69+IF(Q69&lt;0,Q69*Calculator!$H$2,Q69*Calculator!$H$3)+P70,0)</f>
        <v>0</v>
      </c>
      <c r="R70" s="35">
        <f t="shared" si="5"/>
        <v>169291877.7</v>
      </c>
      <c r="S70" s="37">
        <f t="shared" si="6"/>
        <v>169291877.7</v>
      </c>
      <c r="T70" s="35">
        <f>IF(B70&gt;=Calculator!$H$7,T69*(1+Calculator!$H$3)-E70,FV(Calculator!$H$1,B70+Calculator!$H$8-Calculator!$B$2, -Calculator!$C$17,-Calculator!$C$13))</f>
        <v>57786920.12</v>
      </c>
      <c r="U70" s="35">
        <f>IF(B70&gt;=Calculator!$H$7,U69*(1+Calculator!$H$3)-F70,FV(Calculator!$H$1,B70+Calculator!$H$8-Calculator!$B$2, -Calculator!$D$17,-Calculator!$D$13))</f>
        <v>5519186.347</v>
      </c>
      <c r="V70" s="35">
        <f>IF(B70&gt;=Calculator!$H$7,V69*(1+Calculator!$H$3)-G70,FV(Calculator!$H$1,B70+Calculator!$H$8-Calculator!$B$2, -Calculator!$E$17,-Calculator!$E$13))</f>
        <v>23172323.97</v>
      </c>
      <c r="W70" s="35">
        <f>IF(B70&gt;=Calculator!$H$7,W69*(1+Calculator!$H$3)-H70,FV(Calculator!$H$1,B70+Calculator!$H$8-Calculator!$B$2, -Calculator!$F$17,-Calculator!$F$13))+P70</f>
        <v>82813447.3</v>
      </c>
      <c r="X70" s="37">
        <f t="shared" si="12"/>
        <v>6408030.758</v>
      </c>
      <c r="Y70" s="37">
        <f>Y69*(1+Calculator!$H$6)</f>
        <v>346077.8003</v>
      </c>
      <c r="Z70" s="37">
        <f t="shared" si="8"/>
        <v>604296.8318</v>
      </c>
      <c r="AA70" s="37">
        <f t="shared" si="9"/>
        <v>5803733.926</v>
      </c>
      <c r="AB70" s="37">
        <f>AA70*Calculator!$H$5</f>
        <v>1160746.785</v>
      </c>
      <c r="AC70" s="37">
        <f t="shared" si="10"/>
        <v>16.5529458</v>
      </c>
      <c r="AD70" s="37">
        <f t="shared" si="13"/>
        <v>7710772.597</v>
      </c>
      <c r="AE70" s="36"/>
      <c r="AF70" s="36"/>
      <c r="AG70" s="36"/>
      <c r="AH70" s="36"/>
      <c r="AI70" s="36"/>
      <c r="AJ70" s="36"/>
      <c r="AK70" s="36"/>
    </row>
    <row r="71">
      <c r="A71" s="30">
        <v>2089.0</v>
      </c>
      <c r="B71" s="30">
        <f>A71-Calculator!$H$8</f>
        <v>116</v>
      </c>
      <c r="C71" s="36"/>
      <c r="D71" s="32">
        <f>IF(D70=0,IF(B71&gt;=Calculator!$H$10,Calculator!$H$11,0)*Calculator!$H$17,D70*(1+Calculator!$H$6))</f>
        <v>332552.5738</v>
      </c>
      <c r="E71" s="33">
        <f>IF(B71&gt;=Calculator!$H$9,T70*Calculator!$H$14,0)</f>
        <v>2311476.805</v>
      </c>
      <c r="F71" s="33">
        <f>IF(B71&gt;=Calculator!$H$9,U70*Calculator!$H$14,0)</f>
        <v>220767.4539</v>
      </c>
      <c r="G71" s="33">
        <f>IF(B71&gt;=Calculator!$H$7,V70*Calculator!$H$14,0)</f>
        <v>926892.9587</v>
      </c>
      <c r="H71" s="33">
        <f>IF(B71&gt;=Calculator!$H$7,IF(W70&lt;=0,0,W70*Calculator!$H$14),0)</f>
        <v>3312537.892</v>
      </c>
      <c r="I71" s="32">
        <f>IF(I70=0,IF(B71&gt;=Calculator!$H$7,Calculator!$H$12,0),I70*(1+Calculator!$H$6))</f>
        <v>0</v>
      </c>
      <c r="J71" s="34">
        <f>(D71*0.85+E71+H71+I71)*(1-Calculator!$H$5)+D71*0.15+(G71)*(1-Calculator!$H$4)+F71</f>
        <v>5830201.51</v>
      </c>
      <c r="K71" s="38">
        <f t="shared" si="1"/>
        <v>7104227.683</v>
      </c>
      <c r="L71" s="38">
        <f t="shared" si="2"/>
        <v>5853649.888</v>
      </c>
      <c r="M71" s="38">
        <f>IF(B71=Calculator!$C$2,Calculator!$B$8,M70*(1+Calculator!$H$6))</f>
        <v>1561975.822</v>
      </c>
      <c r="N71" s="32"/>
      <c r="O71" s="34">
        <f t="shared" si="3"/>
        <v>1561975.822</v>
      </c>
      <c r="P71" s="34">
        <f t="shared" si="4"/>
        <v>4291674.066</v>
      </c>
      <c r="Q71" s="34">
        <f>IF(Calculator!$H$18="Y",Q70+IF(Q70&lt;0,Q70*Calculator!$H$2,Q70*Calculator!$H$3)+P71,0)</f>
        <v>0</v>
      </c>
      <c r="R71" s="35">
        <f t="shared" si="5"/>
        <v>182048145.7</v>
      </c>
      <c r="S71" s="37">
        <f t="shared" si="6"/>
        <v>182048145.7</v>
      </c>
      <c r="T71" s="35">
        <f>IF(B71&gt;=Calculator!$H$7,T70*(1+Calculator!$H$3)-E71,FV(Calculator!$H$1,B71+Calculator!$H$8-Calculator!$B$2, -Calculator!$C$17,-Calculator!$C$13))</f>
        <v>60676266.12</v>
      </c>
      <c r="U71" s="35">
        <f>IF(B71&gt;=Calculator!$H$7,U70*(1+Calculator!$H$3)-F71,FV(Calculator!$H$1,B71+Calculator!$H$8-Calculator!$B$2, -Calculator!$D$17,-Calculator!$D$13))</f>
        <v>5795145.664</v>
      </c>
      <c r="V71" s="35">
        <f>IF(B71&gt;=Calculator!$H$7,V70*(1+Calculator!$H$3)-G71,FV(Calculator!$H$1,B71+Calculator!$H$8-Calculator!$B$2, -Calculator!$E$17,-Calculator!$E$13))</f>
        <v>24330940.17</v>
      </c>
      <c r="W71" s="35">
        <f>IF(B71&gt;=Calculator!$H$7,W70*(1+Calculator!$H$3)-H71,FV(Calculator!$H$1,B71+Calculator!$H$8-Calculator!$B$2, -Calculator!$F$17,-Calculator!$F$13))+P71</f>
        <v>91245793.73</v>
      </c>
      <c r="X71" s="37">
        <f t="shared" si="12"/>
        <v>6883460.229</v>
      </c>
      <c r="Y71" s="37">
        <f>Y70*(1+Calculator!$H$6)</f>
        <v>359920.9123</v>
      </c>
      <c r="Z71" s="37">
        <f t="shared" si="8"/>
        <v>630571.2523</v>
      </c>
      <c r="AA71" s="37">
        <f t="shared" si="9"/>
        <v>6252888.977</v>
      </c>
      <c r="AB71" s="37">
        <f>AA71*Calculator!$H$5</f>
        <v>1250577.795</v>
      </c>
      <c r="AC71" s="37">
        <f t="shared" si="10"/>
        <v>16.64323338</v>
      </c>
      <c r="AD71" s="37">
        <f t="shared" si="13"/>
        <v>8432346.431</v>
      </c>
      <c r="AE71" s="36"/>
      <c r="AF71" s="36"/>
      <c r="AG71" s="36"/>
      <c r="AH71" s="36"/>
      <c r="AI71" s="36"/>
      <c r="AJ71" s="36"/>
      <c r="AK71" s="36"/>
    </row>
    <row r="72">
      <c r="A72" s="30">
        <v>2090.0</v>
      </c>
      <c r="B72" s="30">
        <f>A72-Calculator!$H$8</f>
        <v>117</v>
      </c>
      <c r="C72" s="36"/>
      <c r="D72" s="32">
        <f>IF(D71=0,IF(B72&gt;=Calculator!$H$10,Calculator!$H$11,0)*Calculator!$H$17,D71*(1+Calculator!$H$6))</f>
        <v>345854.6768</v>
      </c>
      <c r="E72" s="33">
        <f>IF(B72&gt;=Calculator!$H$9,T71*Calculator!$H$14,0)</f>
        <v>2427050.645</v>
      </c>
      <c r="F72" s="33">
        <f>IF(B72&gt;=Calculator!$H$9,U71*Calculator!$H$14,0)</f>
        <v>231805.8266</v>
      </c>
      <c r="G72" s="33">
        <f>IF(B72&gt;=Calculator!$H$7,V71*Calculator!$H$14,0)</f>
        <v>973237.6066</v>
      </c>
      <c r="H72" s="33">
        <f>IF(B72&gt;=Calculator!$H$7,IF(W71&lt;=0,0,W71*Calculator!$H$14),0)</f>
        <v>3649831.749</v>
      </c>
      <c r="I72" s="32">
        <f>IF(I71=0,IF(B72&gt;=Calculator!$H$7,Calculator!$H$12,0),I71*(1+Calculator!$H$6))</f>
        <v>0</v>
      </c>
      <c r="J72" s="34">
        <f>(D72*0.85+E72+H72+I72)*(1-Calculator!$H$5)+D72*0.15+(G72)*(1-Calculator!$H$4)+F72</f>
        <v>6256284.97</v>
      </c>
      <c r="K72" s="38">
        <f t="shared" si="1"/>
        <v>7627780.504</v>
      </c>
      <c r="L72" s="38">
        <f t="shared" si="2"/>
        <v>6280185.924</v>
      </c>
      <c r="M72" s="38">
        <f>IF(B72=Calculator!$C$2,Calculator!$B$8,M71*(1+Calculator!$H$6))</f>
        <v>1624454.855</v>
      </c>
      <c r="N72" s="32"/>
      <c r="O72" s="34">
        <f t="shared" si="3"/>
        <v>1624454.855</v>
      </c>
      <c r="P72" s="34">
        <f t="shared" si="4"/>
        <v>4655731.069</v>
      </c>
      <c r="Q72" s="34">
        <f>IF(Calculator!$H$18="Y",Q71+IF(Q71&lt;0,Q71*Calculator!$H$2,Q71*Calculator!$H$3)+P72,0)</f>
        <v>0</v>
      </c>
      <c r="R72" s="35">
        <f t="shared" si="5"/>
        <v>195806284</v>
      </c>
      <c r="S72" s="37">
        <f t="shared" si="6"/>
        <v>195806284</v>
      </c>
      <c r="T72" s="35">
        <f>IF(B72&gt;=Calculator!$H$7,T71*(1+Calculator!$H$3)-E72,FV(Calculator!$H$1,B72+Calculator!$H$8-Calculator!$B$2, -Calculator!$C$17,-Calculator!$C$13))</f>
        <v>63710079.43</v>
      </c>
      <c r="U72" s="35">
        <f>IF(B72&gt;=Calculator!$H$7,U71*(1+Calculator!$H$3)-F72,FV(Calculator!$H$1,B72+Calculator!$H$8-Calculator!$B$2, -Calculator!$D$17,-Calculator!$D$13))</f>
        <v>6084902.948</v>
      </c>
      <c r="V72" s="35">
        <f>IF(B72&gt;=Calculator!$H$7,V71*(1+Calculator!$H$3)-G72,FV(Calculator!$H$1,B72+Calculator!$H$8-Calculator!$B$2, -Calculator!$E$17,-Calculator!$E$13))</f>
        <v>25547487.17</v>
      </c>
      <c r="W72" s="35">
        <f>IF(B72&gt;=Calculator!$H$7,W71*(1+Calculator!$H$3)-H72,FV(Calculator!$H$1,B72+Calculator!$H$8-Calculator!$B$2, -Calculator!$F$17,-Calculator!$F$13))+P72</f>
        <v>100463814.5</v>
      </c>
      <c r="X72" s="37">
        <f t="shared" si="12"/>
        <v>7395974.677</v>
      </c>
      <c r="Y72" s="37">
        <f>Y71*(1+Calculator!$H$6)</f>
        <v>374317.7488</v>
      </c>
      <c r="Z72" s="37">
        <f t="shared" si="8"/>
        <v>658001.7769</v>
      </c>
      <c r="AA72" s="37">
        <f t="shared" si="9"/>
        <v>6737972.901</v>
      </c>
      <c r="AB72" s="37">
        <f>AA72*Calculator!$H$5</f>
        <v>1347594.58</v>
      </c>
      <c r="AC72" s="37">
        <f t="shared" si="10"/>
        <v>16.73204023</v>
      </c>
      <c r="AD72" s="37">
        <f t="shared" si="13"/>
        <v>9218020.756</v>
      </c>
      <c r="AE72" s="36"/>
      <c r="AF72" s="36"/>
      <c r="AG72" s="36"/>
      <c r="AH72" s="36"/>
      <c r="AI72" s="36"/>
      <c r="AJ72" s="36"/>
      <c r="AK72" s="36"/>
    </row>
    <row r="73">
      <c r="A73" s="30">
        <v>2091.0</v>
      </c>
      <c r="B73" s="30">
        <f>A73-Calculator!$H$8</f>
        <v>118</v>
      </c>
      <c r="C73" s="36"/>
      <c r="D73" s="32">
        <f>IF(D72=0,IF(B73&gt;=Calculator!$H$10,Calculator!$H$11,0)*Calculator!$H$17,D72*(1+Calculator!$H$6))</f>
        <v>359688.8639</v>
      </c>
      <c r="E73" s="33">
        <f>IF(B73&gt;=Calculator!$H$9,T72*Calculator!$H$14,0)</f>
        <v>2548403.177</v>
      </c>
      <c r="F73" s="33">
        <f>IF(B73&gt;=Calculator!$H$9,U72*Calculator!$H$14,0)</f>
        <v>243396.1179</v>
      </c>
      <c r="G73" s="33">
        <f>IF(B73&gt;=Calculator!$H$7,V72*Calculator!$H$14,0)</f>
        <v>1021899.487</v>
      </c>
      <c r="H73" s="33">
        <f>IF(B73&gt;=Calculator!$H$7,IF(W72&lt;=0,0,W72*Calculator!$H$14),0)</f>
        <v>4018552.579</v>
      </c>
      <c r="I73" s="32">
        <f>IF(I72=0,IF(B73&gt;=Calculator!$H$7,Calculator!$H$12,0),I72*(1+Calculator!$H$6))</f>
        <v>0</v>
      </c>
      <c r="J73" s="34">
        <f>(D73*0.85+E73+H73+I73)*(1-Calculator!$H$5)+D73*0.15+(G73)*(1-Calculator!$H$4)+F73</f>
        <v>6715212.018</v>
      </c>
      <c r="K73" s="38">
        <f t="shared" si="1"/>
        <v>8191940.225</v>
      </c>
      <c r="L73" s="38">
        <f t="shared" si="2"/>
        <v>6739559.385</v>
      </c>
      <c r="M73" s="38">
        <f>IF(B73=Calculator!$C$2,Calculator!$B$8,M72*(1+Calculator!$H$6))</f>
        <v>1689433.049</v>
      </c>
      <c r="N73" s="32"/>
      <c r="O73" s="34">
        <f t="shared" si="3"/>
        <v>1689433.049</v>
      </c>
      <c r="P73" s="34">
        <f t="shared" si="4"/>
        <v>5050126.336</v>
      </c>
      <c r="Q73" s="34">
        <f>IF(Calculator!$H$18="Y",Q72+IF(Q72&lt;0,Q72*Calculator!$H$2,Q72*Calculator!$H$3)+P73,0)</f>
        <v>0</v>
      </c>
      <c r="R73" s="35">
        <f t="shared" si="5"/>
        <v>210646724.6</v>
      </c>
      <c r="S73" s="37">
        <f t="shared" si="6"/>
        <v>210646724.6</v>
      </c>
      <c r="T73" s="35">
        <f>IF(B73&gt;=Calculator!$H$7,T72*(1+Calculator!$H$3)-E73,FV(Calculator!$H$1,B73+Calculator!$H$8-Calculator!$B$2, -Calculator!$C$17,-Calculator!$C$13))</f>
        <v>66895583.4</v>
      </c>
      <c r="U73" s="35">
        <f>IF(B73&gt;=Calculator!$H$7,U72*(1+Calculator!$H$3)-F73,FV(Calculator!$H$1,B73+Calculator!$H$8-Calculator!$B$2, -Calculator!$D$17,-Calculator!$D$13))</f>
        <v>6389148.095</v>
      </c>
      <c r="V73" s="35">
        <f>IF(B73&gt;=Calculator!$H$7,V72*(1+Calculator!$H$3)-G73,FV(Calculator!$H$1,B73+Calculator!$H$8-Calculator!$B$2, -Calculator!$E$17,-Calculator!$E$13))</f>
        <v>26824861.53</v>
      </c>
      <c r="W73" s="35">
        <f>IF(B73&gt;=Calculator!$H$7,W72*(1+Calculator!$H$3)-H73,FV(Calculator!$H$1,B73+Calculator!$H$8-Calculator!$B$2, -Calculator!$F$17,-Calculator!$F$13))+P73</f>
        <v>110537131.5</v>
      </c>
      <c r="X73" s="37">
        <f t="shared" si="12"/>
        <v>7948544.107</v>
      </c>
      <c r="Y73" s="37">
        <f>Y72*(1+Calculator!$H$6)</f>
        <v>389290.4588</v>
      </c>
      <c r="Z73" s="37">
        <f t="shared" si="8"/>
        <v>686639.9062</v>
      </c>
      <c r="AA73" s="37">
        <f t="shared" si="9"/>
        <v>7261904.201</v>
      </c>
      <c r="AB73" s="37">
        <f>AA73*Calculator!$H$5</f>
        <v>1452380.84</v>
      </c>
      <c r="AC73" s="37">
        <f t="shared" si="10"/>
        <v>16.81933863</v>
      </c>
      <c r="AD73" s="37">
        <f t="shared" si="13"/>
        <v>10073317.06</v>
      </c>
      <c r="AE73" s="36"/>
      <c r="AF73" s="36"/>
      <c r="AG73" s="36"/>
      <c r="AH73" s="36"/>
      <c r="AI73" s="36"/>
      <c r="AJ73" s="36"/>
      <c r="AK73" s="36"/>
    </row>
    <row r="74">
      <c r="A74" s="30">
        <v>2092.0</v>
      </c>
      <c r="B74" s="30">
        <f>A74-Calculator!$H$8</f>
        <v>119</v>
      </c>
      <c r="C74" s="36"/>
      <c r="D74" s="32">
        <f>IF(D73=0,IF(B74&gt;=Calculator!$H$10,Calculator!$H$11,0)*Calculator!$H$17,D73*(1+Calculator!$H$6))</f>
        <v>374076.4184</v>
      </c>
      <c r="E74" s="33">
        <f>IF(B74&gt;=Calculator!$H$9,T73*Calculator!$H$14,0)</f>
        <v>2675823.336</v>
      </c>
      <c r="F74" s="33">
        <f>IF(B74&gt;=Calculator!$H$9,U73*Calculator!$H$14,0)</f>
        <v>255565.9238</v>
      </c>
      <c r="G74" s="33">
        <f>IF(B74&gt;=Calculator!$H$7,V73*Calculator!$H$14,0)</f>
        <v>1072994.461</v>
      </c>
      <c r="H74" s="33">
        <f>IF(B74&gt;=Calculator!$H$7,IF(W73&lt;=0,0,W73*Calculator!$H$14),0)</f>
        <v>4421485.262</v>
      </c>
      <c r="I74" s="32">
        <f>IF(I73=0,IF(B74&gt;=Calculator!$H$7,Calculator!$H$12,0),I73*(1+Calculator!$H$6))</f>
        <v>0</v>
      </c>
      <c r="J74" s="34">
        <f>(D74*0.85+E74+H74+I74)*(1-Calculator!$H$5)+D74*0.15+(G74)*(1-Calculator!$H$4)+F74</f>
        <v>7209591.245</v>
      </c>
      <c r="K74" s="38">
        <f t="shared" si="1"/>
        <v>8799945.401</v>
      </c>
      <c r="L74" s="38">
        <f t="shared" si="2"/>
        <v>7234377.399</v>
      </c>
      <c r="M74" s="38">
        <f>IF(B74=Calculator!$C$2,Calculator!$B$8,M73*(1+Calculator!$H$6))</f>
        <v>1757010.371</v>
      </c>
      <c r="N74" s="32"/>
      <c r="O74" s="34">
        <f t="shared" si="3"/>
        <v>1757010.371</v>
      </c>
      <c r="P74" s="34">
        <f t="shared" si="4"/>
        <v>5477367.028</v>
      </c>
      <c r="Q74" s="34">
        <f>IF(Calculator!$H$18="Y",Q73+IF(Q73&lt;0,Q73*Calculator!$H$2,Q73*Calculator!$H$3)+P74,0)</f>
        <v>0</v>
      </c>
      <c r="R74" s="35">
        <f t="shared" si="5"/>
        <v>226656427.8</v>
      </c>
      <c r="S74" s="37">
        <f t="shared" si="6"/>
        <v>226656427.8</v>
      </c>
      <c r="T74" s="35">
        <f>IF(B74&gt;=Calculator!$H$7,T73*(1+Calculator!$H$3)-E74,FV(Calculator!$H$1,B74+Calculator!$H$8-Calculator!$B$2, -Calculator!$C$17,-Calculator!$C$13))</f>
        <v>70240362.57</v>
      </c>
      <c r="U74" s="35">
        <f>IF(B74&gt;=Calculator!$H$7,U73*(1+Calculator!$H$3)-F74,FV(Calculator!$H$1,B74+Calculator!$H$8-Calculator!$B$2, -Calculator!$D$17,-Calculator!$D$13))</f>
        <v>6708605.5</v>
      </c>
      <c r="V74" s="35">
        <f>IF(B74&gt;=Calculator!$H$7,V73*(1+Calculator!$H$3)-G74,FV(Calculator!$H$1,B74+Calculator!$H$8-Calculator!$B$2, -Calculator!$E$17,-Calculator!$E$13))</f>
        <v>28166104.61</v>
      </c>
      <c r="W74" s="35">
        <f>IF(B74&gt;=Calculator!$H$7,W73*(1+Calculator!$H$3)-H74,FV(Calculator!$H$1,B74+Calculator!$H$8-Calculator!$B$2, -Calculator!$F$17,-Calculator!$F$13))+P74</f>
        <v>121541355.2</v>
      </c>
      <c r="X74" s="37">
        <f t="shared" si="12"/>
        <v>8544379.478</v>
      </c>
      <c r="Y74" s="37">
        <f>Y73*(1+Calculator!$H$6)</f>
        <v>404862.0771</v>
      </c>
      <c r="Z74" s="37">
        <f t="shared" si="8"/>
        <v>716539.4637</v>
      </c>
      <c r="AA74" s="37">
        <f t="shared" si="9"/>
        <v>7827840.014</v>
      </c>
      <c r="AB74" s="37">
        <f>AA74*Calculator!$H$5</f>
        <v>1565568.003</v>
      </c>
      <c r="AC74" s="37">
        <f t="shared" si="10"/>
        <v>16.90510426</v>
      </c>
      <c r="AD74" s="37">
        <f t="shared" si="13"/>
        <v>11004223.61</v>
      </c>
      <c r="AE74" s="36"/>
      <c r="AF74" s="36"/>
      <c r="AG74" s="36"/>
      <c r="AH74" s="36"/>
      <c r="AI74" s="36"/>
      <c r="AJ74" s="36"/>
      <c r="AK74" s="36"/>
    </row>
    <row r="75">
      <c r="A75" s="30">
        <v>2093.0</v>
      </c>
      <c r="B75" s="30">
        <f>A75-Calculator!$H$8</f>
        <v>120</v>
      </c>
      <c r="C75" s="36"/>
      <c r="D75" s="32">
        <f>IF(D74=0,IF(B75&gt;=Calculator!$H$10,Calculator!$H$11,0)*Calculator!$H$17,D74*(1+Calculator!$H$6))</f>
        <v>389039.4751</v>
      </c>
      <c r="E75" s="33">
        <f>IF(B75&gt;=Calculator!$H$9,T74*Calculator!$H$14,0)</f>
        <v>2809614.503</v>
      </c>
      <c r="F75" s="33">
        <f>IF(B75&gt;=Calculator!$H$9,U74*Calculator!$H$14,0)</f>
        <v>268344.22</v>
      </c>
      <c r="G75" s="33">
        <f>IF(B75&gt;=Calculator!$H$7,V74*Calculator!$H$14,0)</f>
        <v>1126644.184</v>
      </c>
      <c r="H75" s="33">
        <f>IF(B75&gt;=Calculator!$H$7,IF(W74&lt;=0,0,W74*Calculator!$H$14),0)</f>
        <v>4861654.206</v>
      </c>
      <c r="I75" s="32">
        <f>IF(I74=0,IF(B75&gt;=Calculator!$H$7,Calculator!$H$12,0),I74*(1+Calculator!$H$6))</f>
        <v>0</v>
      </c>
      <c r="J75" s="34">
        <f>(D75*0.85+E75+H75+I75)*(1-Calculator!$H$5)+D75*0.15+(G75)*(1-Calculator!$H$4)+F75</f>
        <v>7742241.717</v>
      </c>
      <c r="K75" s="38">
        <f t="shared" si="1"/>
        <v>9455296.588</v>
      </c>
      <c r="L75" s="38">
        <f t="shared" si="2"/>
        <v>7767457.455</v>
      </c>
      <c r="M75" s="38">
        <f>IF(B75=Calculator!$C$2,Calculator!$B$8,M74*(1+Calculator!$H$6))</f>
        <v>1827290.786</v>
      </c>
      <c r="N75" s="32"/>
      <c r="O75" s="34">
        <f t="shared" si="3"/>
        <v>1827290.786</v>
      </c>
      <c r="P75" s="34">
        <f t="shared" si="4"/>
        <v>5940166.669</v>
      </c>
      <c r="Q75" s="34">
        <f>IF(Calculator!$H$18="Y",Q74+IF(Q74&lt;0,Q74*Calculator!$H$2,Q74*Calculator!$H$3)+P75,0)</f>
        <v>0</v>
      </c>
      <c r="R75" s="35">
        <f t="shared" si="5"/>
        <v>243929415.9</v>
      </c>
      <c r="S75" s="37">
        <f t="shared" si="6"/>
        <v>243929415.9</v>
      </c>
      <c r="T75" s="35">
        <f>IF(B75&gt;=Calculator!$H$7,T74*(1+Calculator!$H$3)-E75,FV(Calculator!$H$1,B75+Calculator!$H$8-Calculator!$B$2, -Calculator!$C$17,-Calculator!$C$13))</f>
        <v>73752380.7</v>
      </c>
      <c r="U75" s="35">
        <f>IF(B75&gt;=Calculator!$H$7,U74*(1+Calculator!$H$3)-F75,FV(Calculator!$H$1,B75+Calculator!$H$8-Calculator!$B$2, -Calculator!$D$17,-Calculator!$D$13))</f>
        <v>7044035.775</v>
      </c>
      <c r="V75" s="35">
        <f>IF(B75&gt;=Calculator!$H$7,V74*(1+Calculator!$H$3)-G75,FV(Calculator!$H$1,B75+Calculator!$H$8-Calculator!$B$2, -Calculator!$E$17,-Calculator!$E$13))</f>
        <v>29574409.84</v>
      </c>
      <c r="W75" s="35">
        <f>IF(B75&gt;=Calculator!$H$7,W74*(1+Calculator!$H$3)-H75,FV(Calculator!$H$1,B75+Calculator!$H$8-Calculator!$B$2, -Calculator!$F$17,-Calculator!$F$13))+P75</f>
        <v>133558589.6</v>
      </c>
      <c r="X75" s="37">
        <f t="shared" si="12"/>
        <v>9186952.368</v>
      </c>
      <c r="Y75" s="37">
        <f>Y74*(1+Calculator!$H$6)</f>
        <v>421056.5602</v>
      </c>
      <c r="Z75" s="37">
        <f t="shared" si="8"/>
        <v>747756.7014</v>
      </c>
      <c r="AA75" s="37">
        <f t="shared" si="9"/>
        <v>8439195.667</v>
      </c>
      <c r="AB75" s="37">
        <f>AA75*Calculator!$H$5</f>
        <v>1687839.133</v>
      </c>
      <c r="AC75" s="37">
        <f t="shared" si="10"/>
        <v>16.98931616</v>
      </c>
      <c r="AD75" s="37">
        <f t="shared" si="13"/>
        <v>12017234.43</v>
      </c>
      <c r="AE75" s="36"/>
      <c r="AF75" s="36"/>
      <c r="AG75" s="36"/>
      <c r="AH75" s="36"/>
      <c r="AI75" s="36"/>
      <c r="AJ75" s="36"/>
      <c r="AK75" s="36"/>
    </row>
    <row r="76">
      <c r="A76" s="30">
        <v>2094.0</v>
      </c>
      <c r="B76" s="30">
        <f>A76-Calculator!$H$8</f>
        <v>121</v>
      </c>
      <c r="C76" s="36"/>
      <c r="D76" s="32">
        <f>IF(D75=0,IF(B76&gt;=Calculator!$H$10,Calculator!$H$11,0)*Calculator!$H$17,D75*(1+Calculator!$H$6))</f>
        <v>404601.0542</v>
      </c>
      <c r="E76" s="33">
        <f>IF(B76&gt;=Calculator!$H$9,T75*Calculator!$H$14,0)</f>
        <v>2950095.228</v>
      </c>
      <c r="F76" s="33">
        <f>IF(B76&gt;=Calculator!$H$9,U75*Calculator!$H$14,0)</f>
        <v>281761.431</v>
      </c>
      <c r="G76" s="33">
        <f>IF(B76&gt;=Calculator!$H$7,V75*Calculator!$H$14,0)</f>
        <v>1182976.394</v>
      </c>
      <c r="H76" s="33">
        <f>IF(B76&gt;=Calculator!$H$7,IF(W75&lt;=0,0,W75*Calculator!$H$14),0)</f>
        <v>5342343.583</v>
      </c>
      <c r="I76" s="32">
        <f>IF(I75=0,IF(B76&gt;=Calculator!$H$7,Calculator!$H$12,0),I75*(1+Calculator!$H$6))</f>
        <v>0</v>
      </c>
      <c r="J76" s="34">
        <f>(D76*0.85+E76+H76+I76)*(1-Calculator!$H$5)+D76*0.15+(G76)*(1-Calculator!$H$4)+F76</f>
        <v>8316210.109</v>
      </c>
      <c r="K76" s="38">
        <f t="shared" si="1"/>
        <v>10161777.69</v>
      </c>
      <c r="L76" s="38">
        <f t="shared" si="2"/>
        <v>8341844.52</v>
      </c>
      <c r="M76" s="38">
        <f>IF(B76=Calculator!$C$2,Calculator!$B$8,M75*(1+Calculator!$H$6))</f>
        <v>1900382.417</v>
      </c>
      <c r="N76" s="32"/>
      <c r="O76" s="34">
        <f t="shared" si="3"/>
        <v>1900382.417</v>
      </c>
      <c r="P76" s="34">
        <f t="shared" si="4"/>
        <v>6441462.103</v>
      </c>
      <c r="Q76" s="34">
        <f>IF(Calculator!$H$18="Y",Q75+IF(Q75&lt;0,Q75*Calculator!$H$2,Q75*Calculator!$H$3)+P76,0)</f>
        <v>0</v>
      </c>
      <c r="R76" s="35">
        <f t="shared" si="5"/>
        <v>262567348.8</v>
      </c>
      <c r="S76" s="37">
        <f t="shared" si="6"/>
        <v>262567348.8</v>
      </c>
      <c r="T76" s="35">
        <f>IF(B76&gt;=Calculator!$H$7,T75*(1+Calculator!$H$3)-E76,FV(Calculator!$H$1,B76+Calculator!$H$8-Calculator!$B$2, -Calculator!$C$17,-Calculator!$C$13))</f>
        <v>77439999.73</v>
      </c>
      <c r="U76" s="35">
        <f>IF(B76&gt;=Calculator!$H$7,U75*(1+Calculator!$H$3)-F76,FV(Calculator!$H$1,B76+Calculator!$H$8-Calculator!$B$2, -Calculator!$D$17,-Calculator!$D$13))</f>
        <v>7396237.563</v>
      </c>
      <c r="V76" s="35">
        <f>IF(B76&gt;=Calculator!$H$7,V75*(1+Calculator!$H$3)-G76,FV(Calculator!$H$1,B76+Calculator!$H$8-Calculator!$B$2, -Calculator!$E$17,-Calculator!$E$13))</f>
        <v>31053130.33</v>
      </c>
      <c r="W76" s="35">
        <f>IF(B76&gt;=Calculator!$H$7,W75*(1+Calculator!$H$3)-H76,FV(Calculator!$H$1,B76+Calculator!$H$8-Calculator!$B$2, -Calculator!$F$17,-Calculator!$F$13))+P76</f>
        <v>146677981.2</v>
      </c>
      <c r="X76" s="37">
        <f t="shared" si="12"/>
        <v>9880016.259</v>
      </c>
      <c r="Y76" s="37">
        <f>Y75*(1+Calculator!$H$6)</f>
        <v>437898.8226</v>
      </c>
      <c r="Z76" s="37">
        <f t="shared" si="8"/>
        <v>780350.4117</v>
      </c>
      <c r="AA76" s="37">
        <f t="shared" si="9"/>
        <v>9099665.847</v>
      </c>
      <c r="AB76" s="37">
        <f>AA76*Calculator!$H$5</f>
        <v>1819933.169</v>
      </c>
      <c r="AC76" s="37">
        <f t="shared" si="10"/>
        <v>17.07195658</v>
      </c>
      <c r="AD76" s="37">
        <f t="shared" si="13"/>
        <v>13119391.58</v>
      </c>
      <c r="AE76" s="36"/>
      <c r="AF76" s="36"/>
      <c r="AG76" s="36"/>
      <c r="AH76" s="36"/>
      <c r="AI76" s="36"/>
      <c r="AJ76" s="36"/>
      <c r="AK76" s="36"/>
    </row>
    <row r="77">
      <c r="A77" s="30">
        <v>2095.0</v>
      </c>
      <c r="B77" s="30">
        <f>A77-Calculator!$H$8</f>
        <v>122</v>
      </c>
      <c r="C77" s="36"/>
      <c r="D77" s="32">
        <f>IF(D76=0,IF(B77&gt;=Calculator!$H$10,Calculator!$H$11,0)*Calculator!$H$17,D76*(1+Calculator!$H$6))</f>
        <v>420785.0963</v>
      </c>
      <c r="E77" s="33">
        <f>IF(B77&gt;=Calculator!$H$9,T76*Calculator!$H$14,0)</f>
        <v>3097599.989</v>
      </c>
      <c r="F77" s="33">
        <f>IF(B77&gt;=Calculator!$H$9,U76*Calculator!$H$14,0)</f>
        <v>295849.5025</v>
      </c>
      <c r="G77" s="33">
        <f>IF(B77&gt;=Calculator!$H$7,V76*Calculator!$H$14,0)</f>
        <v>1242125.213</v>
      </c>
      <c r="H77" s="33">
        <f>IF(B77&gt;=Calculator!$H$7,IF(W76&lt;=0,0,W76*Calculator!$H$14),0)</f>
        <v>5867119.246</v>
      </c>
      <c r="I77" s="32">
        <f>IF(I76=0,IF(B77&gt;=Calculator!$H$7,Calculator!$H$12,0),I76*(1+Calculator!$H$6))</f>
        <v>0</v>
      </c>
      <c r="J77" s="34">
        <f>(D77*0.85+E77+H77+I77)*(1-Calculator!$H$5)+D77*0.15+(G77)*(1-Calculator!$H$4)+F77</f>
        <v>8934789.213</v>
      </c>
      <c r="K77" s="38">
        <f t="shared" si="1"/>
        <v>10923479.05</v>
      </c>
      <c r="L77" s="38">
        <f t="shared" si="2"/>
        <v>8960829.547</v>
      </c>
      <c r="M77" s="38">
        <f>IF(B77=Calculator!$C$2,Calculator!$B$8,M76*(1+Calculator!$H$6))</f>
        <v>1976397.714</v>
      </c>
      <c r="N77" s="32"/>
      <c r="O77" s="34">
        <f t="shared" si="3"/>
        <v>1976397.714</v>
      </c>
      <c r="P77" s="34">
        <f t="shared" si="4"/>
        <v>6984431.834</v>
      </c>
      <c r="Q77" s="34">
        <f>IF(Calculator!$H$18="Y",Q76+IF(Q76&lt;0,Q76*Calculator!$H$2,Q76*Calculator!$H$3)+P77,0)</f>
        <v>0</v>
      </c>
      <c r="R77" s="35">
        <f t="shared" si="5"/>
        <v>282680148.1</v>
      </c>
      <c r="S77" s="37">
        <f t="shared" si="6"/>
        <v>282680148.1</v>
      </c>
      <c r="T77" s="35">
        <f>IF(B77&gt;=Calculator!$H$7,T76*(1+Calculator!$H$3)-E77,FV(Calculator!$H$1,B77+Calculator!$H$8-Calculator!$B$2, -Calculator!$C$17,-Calculator!$C$13))</f>
        <v>81311999.72</v>
      </c>
      <c r="U77" s="35">
        <f>IF(B77&gt;=Calculator!$H$7,U76*(1+Calculator!$H$3)-F77,FV(Calculator!$H$1,B77+Calculator!$H$8-Calculator!$B$2, -Calculator!$D$17,-Calculator!$D$13))</f>
        <v>7766049.442</v>
      </c>
      <c r="V77" s="35">
        <f>IF(B77&gt;=Calculator!$H$7,V76*(1+Calculator!$H$3)-G77,FV(Calculator!$H$1,B77+Calculator!$H$8-Calculator!$B$2, -Calculator!$E$17,-Calculator!$E$13))</f>
        <v>32605786.85</v>
      </c>
      <c r="W77" s="35">
        <f>IF(B77&gt;=Calculator!$H$7,W76*(1+Calculator!$H$3)-H77,FV(Calculator!$H$1,B77+Calculator!$H$8-Calculator!$B$2, -Calculator!$F$17,-Calculator!$F$13))+P77</f>
        <v>160996312.1</v>
      </c>
      <c r="X77" s="37">
        <f t="shared" si="12"/>
        <v>10627629.55</v>
      </c>
      <c r="Y77" s="37">
        <f>Y76*(1+Calculator!$H$6)</f>
        <v>455414.7755</v>
      </c>
      <c r="Z77" s="37">
        <f t="shared" si="8"/>
        <v>814382.0425</v>
      </c>
      <c r="AA77" s="37">
        <f t="shared" si="9"/>
        <v>9813247.503</v>
      </c>
      <c r="AB77" s="37">
        <f>AA77*Calculator!$H$5</f>
        <v>1962649.501</v>
      </c>
      <c r="AC77" s="37">
        <f t="shared" si="10"/>
        <v>17.15301095</v>
      </c>
      <c r="AD77" s="37">
        <f t="shared" si="13"/>
        <v>14318330.89</v>
      </c>
      <c r="AE77" s="36"/>
      <c r="AF77" s="36"/>
      <c r="AG77" s="36"/>
      <c r="AH77" s="36"/>
      <c r="AI77" s="36"/>
      <c r="AJ77" s="36"/>
      <c r="AK77" s="36"/>
    </row>
    <row r="78">
      <c r="A78" s="30">
        <v>2096.0</v>
      </c>
      <c r="B78" s="30">
        <f>A78-Calculator!$H$8</f>
        <v>123</v>
      </c>
      <c r="C78" s="36"/>
      <c r="D78" s="32">
        <f>IF(D77=0,IF(B78&gt;=Calculator!$H$10,Calculator!$H$11,0)*Calculator!$H$17,D77*(1+Calculator!$H$6))</f>
        <v>437616.5002</v>
      </c>
      <c r="E78" s="33">
        <f>IF(B78&gt;=Calculator!$H$9,T77*Calculator!$H$14,0)</f>
        <v>3252479.989</v>
      </c>
      <c r="F78" s="33">
        <f>IF(B78&gt;=Calculator!$H$9,U77*Calculator!$H$14,0)</f>
        <v>310641.9777</v>
      </c>
      <c r="G78" s="33">
        <f>IF(B78&gt;=Calculator!$H$7,V77*Calculator!$H$14,0)</f>
        <v>1304231.474</v>
      </c>
      <c r="H78" s="33">
        <f>IF(B78&gt;=Calculator!$H$7,IF(W77&lt;=0,0,W77*Calculator!$H$14),0)</f>
        <v>6439852.482</v>
      </c>
      <c r="I78" s="32">
        <f>IF(I77=0,IF(B78&gt;=Calculator!$H$7,Calculator!$H$12,0),I77*(1+Calculator!$H$6))</f>
        <v>0</v>
      </c>
      <c r="J78" s="34">
        <f>(D78*0.85+E78+H78+I78)*(1-Calculator!$H$5)+D78*0.15+(G78)*(1-Calculator!$H$4)+F78</f>
        <v>9601537.976</v>
      </c>
      <c r="K78" s="38">
        <f t="shared" si="1"/>
        <v>11744822.42</v>
      </c>
      <c r="L78" s="38">
        <f t="shared" si="2"/>
        <v>9627969.497</v>
      </c>
      <c r="M78" s="38">
        <f>IF(B78=Calculator!$C$2,Calculator!$B$8,M77*(1+Calculator!$H$6))</f>
        <v>2055453.622</v>
      </c>
      <c r="N78" s="32"/>
      <c r="O78" s="34">
        <f t="shared" si="3"/>
        <v>2055453.622</v>
      </c>
      <c r="P78" s="34">
        <f t="shared" si="4"/>
        <v>7572515.875</v>
      </c>
      <c r="Q78" s="34">
        <f>IF(Calculator!$H$18="Y",Q77+IF(Q77&lt;0,Q77*Calculator!$H$2,Q77*Calculator!$H$3)+P78,0)</f>
        <v>0</v>
      </c>
      <c r="R78" s="35">
        <f t="shared" si="5"/>
        <v>304386671.3</v>
      </c>
      <c r="S78" s="37">
        <f t="shared" si="6"/>
        <v>304386671.3</v>
      </c>
      <c r="T78" s="35">
        <f>IF(B78&gt;=Calculator!$H$7,T77*(1+Calculator!$H$3)-E78,FV(Calculator!$H$1,B78+Calculator!$H$8-Calculator!$B$2, -Calculator!$C$17,-Calculator!$C$13))</f>
        <v>85377599.71</v>
      </c>
      <c r="U78" s="35">
        <f>IF(B78&gt;=Calculator!$H$7,U77*(1+Calculator!$H$3)-F78,FV(Calculator!$H$1,B78+Calculator!$H$8-Calculator!$B$2, -Calculator!$D$17,-Calculator!$D$13))</f>
        <v>8154351.914</v>
      </c>
      <c r="V78" s="35">
        <f>IF(B78&gt;=Calculator!$H$7,V77*(1+Calculator!$H$3)-G78,FV(Calculator!$H$1,B78+Calculator!$H$8-Calculator!$B$2, -Calculator!$E$17,-Calculator!$E$13))</f>
        <v>34236076.19</v>
      </c>
      <c r="W78" s="35">
        <f>IF(B78&gt;=Calculator!$H$7,W77*(1+Calculator!$H$3)-H78,FV(Calculator!$H$1,B78+Calculator!$H$8-Calculator!$B$2, -Calculator!$F$17,-Calculator!$F$13))+P78</f>
        <v>176618643.5</v>
      </c>
      <c r="X78" s="37">
        <f t="shared" si="12"/>
        <v>11434180.44</v>
      </c>
      <c r="Y78" s="37">
        <f>Y77*(1+Calculator!$H$6)</f>
        <v>473631.3665</v>
      </c>
      <c r="Z78" s="37">
        <f t="shared" si="8"/>
        <v>849915.8192</v>
      </c>
      <c r="AA78" s="37">
        <f t="shared" si="9"/>
        <v>10584264.63</v>
      </c>
      <c r="AB78" s="37">
        <f>AA78*Calculator!$H$5</f>
        <v>2116852.925</v>
      </c>
      <c r="AC78" s="37">
        <f t="shared" si="10"/>
        <v>17.23246773</v>
      </c>
      <c r="AD78" s="37">
        <f t="shared" si="13"/>
        <v>15622331.48</v>
      </c>
      <c r="AE78" s="36"/>
      <c r="AF78" s="36"/>
      <c r="AG78" s="36"/>
      <c r="AH78" s="36"/>
      <c r="AI78" s="36"/>
      <c r="AJ78" s="36"/>
      <c r="AK78" s="36"/>
    </row>
    <row r="79">
      <c r="A79" s="30">
        <v>2097.0</v>
      </c>
      <c r="B79" s="30">
        <f>A79-Calculator!$H$8</f>
        <v>124</v>
      </c>
      <c r="C79" s="36"/>
      <c r="D79" s="32">
        <f>IF(D78=0,IF(B79&gt;=Calculator!$H$10,Calculator!$H$11,0)*Calculator!$H$17,D78*(1+Calculator!$H$6))</f>
        <v>455121.1602</v>
      </c>
      <c r="E79" s="33">
        <f>IF(B79&gt;=Calculator!$H$9,T78*Calculator!$H$14,0)</f>
        <v>3415103.988</v>
      </c>
      <c r="F79" s="33">
        <f>IF(B79&gt;=Calculator!$H$9,U78*Calculator!$H$14,0)</f>
        <v>326174.0765</v>
      </c>
      <c r="G79" s="33">
        <f>IF(B79&gt;=Calculator!$H$7,V78*Calculator!$H$14,0)</f>
        <v>1369443.048</v>
      </c>
      <c r="H79" s="33">
        <f>IF(B79&gt;=Calculator!$H$7,IF(W78&lt;=0,0,W78*Calculator!$H$14),0)</f>
        <v>7064745.741</v>
      </c>
      <c r="I79" s="32">
        <f>IF(I78=0,IF(B79&gt;=Calculator!$H$7,Calculator!$H$12,0),I78*(1+Calculator!$H$6))</f>
        <v>0</v>
      </c>
      <c r="J79" s="34">
        <f>(D79*0.85+E79+H79+I79)*(1-Calculator!$H$5)+D79*0.15+(G79)*(1-Calculator!$H$4)+F79</f>
        <v>10320303.17</v>
      </c>
      <c r="K79" s="38">
        <f t="shared" si="1"/>
        <v>12630588.01</v>
      </c>
      <c r="L79" s="38">
        <f t="shared" si="2"/>
        <v>10347109</v>
      </c>
      <c r="M79" s="38">
        <f>IF(B79=Calculator!$C$2,Calculator!$B$8,M78*(1+Calculator!$H$6))</f>
        <v>2137671.767</v>
      </c>
      <c r="N79" s="32"/>
      <c r="O79" s="34">
        <f t="shared" si="3"/>
        <v>2137671.767</v>
      </c>
      <c r="P79" s="34">
        <f t="shared" si="4"/>
        <v>8209437.234</v>
      </c>
      <c r="Q79" s="34">
        <f>IF(Calculator!$H$18="Y",Q78+IF(Q78&lt;0,Q78*Calculator!$H$2,Q78*Calculator!$H$3)+P79,0)</f>
        <v>0</v>
      </c>
      <c r="R79" s="35">
        <f t="shared" si="5"/>
        <v>327815442.1</v>
      </c>
      <c r="S79" s="37">
        <f t="shared" si="6"/>
        <v>327815442.1</v>
      </c>
      <c r="T79" s="35">
        <f>IF(B79&gt;=Calculator!$H$7,T78*(1+Calculator!$H$3)-E79,FV(Calculator!$H$1,B79+Calculator!$H$8-Calculator!$B$2, -Calculator!$C$17,-Calculator!$C$13))</f>
        <v>89646479.69</v>
      </c>
      <c r="U79" s="35">
        <f>IF(B79&gt;=Calculator!$H$7,U78*(1+Calculator!$H$3)-F79,FV(Calculator!$H$1,B79+Calculator!$H$8-Calculator!$B$2, -Calculator!$D$17,-Calculator!$D$13))</f>
        <v>8562069.509</v>
      </c>
      <c r="V79" s="35">
        <f>IF(B79&gt;=Calculator!$H$7,V78*(1+Calculator!$H$3)-G79,FV(Calculator!$H$1,B79+Calculator!$H$8-Calculator!$B$2, -Calculator!$E$17,-Calculator!$E$13))</f>
        <v>35947880</v>
      </c>
      <c r="W79" s="35">
        <f>IF(B79&gt;=Calculator!$H$7,W78*(1+Calculator!$H$3)-H79,FV(Calculator!$H$1,B79+Calculator!$H$8-Calculator!$B$2, -Calculator!$F$17,-Calculator!$F$13))+P79</f>
        <v>193659012.9</v>
      </c>
      <c r="X79" s="37">
        <f t="shared" si="12"/>
        <v>12304413.94</v>
      </c>
      <c r="Y79" s="37">
        <f>Y78*(1+Calculator!$H$6)</f>
        <v>492576.6212</v>
      </c>
      <c r="Z79" s="37">
        <f t="shared" si="8"/>
        <v>887018.8718</v>
      </c>
      <c r="AA79" s="37">
        <f t="shared" si="9"/>
        <v>11417395.07</v>
      </c>
      <c r="AB79" s="37">
        <f>AA79*Calculator!$H$5</f>
        <v>2283479.013</v>
      </c>
      <c r="AC79" s="37">
        <f t="shared" si="10"/>
        <v>17.31031834</v>
      </c>
      <c r="AD79" s="37">
        <f t="shared" si="13"/>
        <v>17040369.41</v>
      </c>
      <c r="AE79" s="36"/>
      <c r="AF79" s="36"/>
      <c r="AG79" s="36"/>
      <c r="AH79" s="36"/>
      <c r="AI79" s="36"/>
      <c r="AJ79" s="36"/>
      <c r="AK79" s="36"/>
    </row>
    <row r="80">
      <c r="A80" s="30">
        <v>2098.0</v>
      </c>
      <c r="B80" s="30">
        <f>A80-Calculator!$H$8</f>
        <v>125</v>
      </c>
      <c r="C80" s="36"/>
      <c r="D80" s="32">
        <f>IF(D79=0,IF(B80&gt;=Calculator!$H$10,Calculator!$H$11,0)*Calculator!$H$17,D79*(1+Calculator!$H$6))</f>
        <v>473326.0066</v>
      </c>
      <c r="E80" s="33">
        <f>IF(B80&gt;=Calculator!$H$9,T79*Calculator!$H$14,0)</f>
        <v>3585859.188</v>
      </c>
      <c r="F80" s="33">
        <f>IF(B80&gt;=Calculator!$H$9,U79*Calculator!$H$14,0)</f>
        <v>342482.7804</v>
      </c>
      <c r="G80" s="33">
        <f>IF(B80&gt;=Calculator!$H$7,V79*Calculator!$H$14,0)</f>
        <v>1437915.2</v>
      </c>
      <c r="H80" s="33">
        <f>IF(B80&gt;=Calculator!$H$7,IF(W79&lt;=0,0,W79*Calculator!$H$14),0)</f>
        <v>7746360.518</v>
      </c>
      <c r="I80" s="32">
        <f>IF(I79=0,IF(B80&gt;=Calculator!$H$7,Calculator!$H$12,0),I79*(1+Calculator!$H$6))</f>
        <v>0</v>
      </c>
      <c r="J80" s="34">
        <f>(D80*0.85+E80+H80+I80)*(1-Calculator!$H$5)+D80*0.15+(G80)*(1-Calculator!$H$4)+F80</f>
        <v>11095242.81</v>
      </c>
      <c r="K80" s="38">
        <f t="shared" si="1"/>
        <v>13585943.69</v>
      </c>
      <c r="L80" s="38">
        <f t="shared" si="2"/>
        <v>11122403.78</v>
      </c>
      <c r="M80" s="38">
        <f>IF(B80=Calculator!$C$2,Calculator!$B$8,M79*(1+Calculator!$H$6))</f>
        <v>2223178.638</v>
      </c>
      <c r="N80" s="32"/>
      <c r="O80" s="34">
        <f t="shared" si="3"/>
        <v>2223178.638</v>
      </c>
      <c r="P80" s="34">
        <f t="shared" si="4"/>
        <v>8899225.146</v>
      </c>
      <c r="Q80" s="34">
        <f>IF(Calculator!$H$18="Y",Q79+IF(Q79&lt;0,Q79*Calculator!$H$2,Q79*Calculator!$H$3)+P80,0)</f>
        <v>0</v>
      </c>
      <c r="R80" s="35">
        <f t="shared" si="5"/>
        <v>353105439.4</v>
      </c>
      <c r="S80" s="37">
        <f t="shared" si="6"/>
        <v>353105439.4</v>
      </c>
      <c r="T80" s="35">
        <f>IF(B80&gt;=Calculator!$H$7,T79*(1+Calculator!$H$3)-E80,FV(Calculator!$H$1,B80+Calculator!$H$8-Calculator!$B$2, -Calculator!$C$17,-Calculator!$C$13))</f>
        <v>94128803.68</v>
      </c>
      <c r="U80" s="35">
        <f>IF(B80&gt;=Calculator!$H$7,U79*(1+Calculator!$H$3)-F80,FV(Calculator!$H$1,B80+Calculator!$H$8-Calculator!$B$2, -Calculator!$D$17,-Calculator!$D$13))</f>
        <v>8990172.985</v>
      </c>
      <c r="V80" s="35">
        <f>IF(B80&gt;=Calculator!$H$7,V79*(1+Calculator!$H$3)-G80,FV(Calculator!$H$1,B80+Calculator!$H$8-Calculator!$B$2, -Calculator!$E$17,-Calculator!$E$13))</f>
        <v>37745274</v>
      </c>
      <c r="W80" s="35">
        <f>IF(B80&gt;=Calculator!$H$7,W79*(1+Calculator!$H$3)-H80,FV(Calculator!$H$1,B80+Calculator!$H$8-Calculator!$B$2, -Calculator!$F$17,-Calculator!$F$13))+P80</f>
        <v>212241188.7</v>
      </c>
      <c r="X80" s="37">
        <f t="shared" si="12"/>
        <v>13243460.91</v>
      </c>
      <c r="Y80" s="37">
        <f>Y79*(1+Calculator!$H$6)</f>
        <v>512279.686</v>
      </c>
      <c r="Z80" s="37">
        <f t="shared" si="8"/>
        <v>925761.3674</v>
      </c>
      <c r="AA80" s="37">
        <f t="shared" si="9"/>
        <v>12317699.54</v>
      </c>
      <c r="AB80" s="37">
        <f>AA80*Calculator!$H$5</f>
        <v>2463539.909</v>
      </c>
      <c r="AC80" s="37">
        <f t="shared" si="10"/>
        <v>17.38655701</v>
      </c>
      <c r="AD80" s="37">
        <f t="shared" si="13"/>
        <v>18582175.79</v>
      </c>
      <c r="AE80" s="36"/>
      <c r="AF80" s="36"/>
      <c r="AG80" s="36"/>
      <c r="AH80" s="36"/>
      <c r="AI80" s="36"/>
      <c r="AJ80" s="36"/>
      <c r="AK80" s="36"/>
    </row>
    <row r="81">
      <c r="A81" s="30">
        <v>2099.0</v>
      </c>
      <c r="B81" s="30">
        <f>A81-Calculator!$H$8</f>
        <v>126</v>
      </c>
      <c r="C81" s="36"/>
      <c r="D81" s="32">
        <f>IF(D80=0,IF(B81&gt;=Calculator!$H$10,Calculator!$H$11,0)*Calculator!$H$17,D80*(1+Calculator!$H$6))</f>
        <v>492259.0469</v>
      </c>
      <c r="E81" s="33">
        <f>IF(B81&gt;=Calculator!$H$9,T80*Calculator!$H$14,0)</f>
        <v>3765152.147</v>
      </c>
      <c r="F81" s="33">
        <f>IF(B81&gt;=Calculator!$H$9,U80*Calculator!$H$14,0)</f>
        <v>359606.9194</v>
      </c>
      <c r="G81" s="33">
        <f>IF(B81&gt;=Calculator!$H$7,V80*Calculator!$H$14,0)</f>
        <v>1509810.96</v>
      </c>
      <c r="H81" s="33">
        <f>IF(B81&gt;=Calculator!$H$7,IF(W80&lt;=0,0,W80*Calculator!$H$14),0)</f>
        <v>8489647.549</v>
      </c>
      <c r="I81" s="32">
        <f>IF(I80=0,IF(B81&gt;=Calculator!$H$7,Calculator!$H$12,0),I80*(1+Calculator!$H$6))</f>
        <v>0</v>
      </c>
      <c r="J81" s="34">
        <f>(D81*0.85+E81+H81+I81)*(1-Calculator!$H$5)+D81*0.15+(G81)*(1-Calculator!$H$4)+F81</f>
        <v>11930851.55</v>
      </c>
      <c r="K81" s="38">
        <f t="shared" si="1"/>
        <v>14616476.62</v>
      </c>
      <c r="L81" s="38">
        <f t="shared" si="2"/>
        <v>11958346.01</v>
      </c>
      <c r="M81" s="38">
        <f>IF(B81=Calculator!$C$2,Calculator!$B$8,M80*(1+Calculator!$H$6))</f>
        <v>2312105.783</v>
      </c>
      <c r="N81" s="32"/>
      <c r="O81" s="34">
        <f t="shared" si="3"/>
        <v>2312105.783</v>
      </c>
      <c r="P81" s="34">
        <f t="shared" si="4"/>
        <v>9646240.229</v>
      </c>
      <c r="Q81" s="34">
        <f>IF(Calculator!$H$18="Y",Q80+IF(Q80&lt;0,Q80*Calculator!$H$2,Q80*Calculator!$H$3)+P81,0)</f>
        <v>0</v>
      </c>
      <c r="R81" s="35">
        <f t="shared" si="5"/>
        <v>380406951.6</v>
      </c>
      <c r="S81" s="37">
        <f t="shared" si="6"/>
        <v>380406951.6</v>
      </c>
      <c r="T81" s="35">
        <f>IF(B81&gt;=Calculator!$H$7,T80*(1+Calculator!$H$3)-E81,FV(Calculator!$H$1,B81+Calculator!$H$8-Calculator!$B$2, -Calculator!$C$17,-Calculator!$C$13))</f>
        <v>98835243.86</v>
      </c>
      <c r="U81" s="35">
        <f>IF(B81&gt;=Calculator!$H$7,U80*(1+Calculator!$H$3)-F81,FV(Calculator!$H$1,B81+Calculator!$H$8-Calculator!$B$2, -Calculator!$D$17,-Calculator!$D$13))</f>
        <v>9439681.634</v>
      </c>
      <c r="V81" s="35">
        <f>IF(B81&gt;=Calculator!$H$7,V80*(1+Calculator!$H$3)-G81,FV(Calculator!$H$1,B81+Calculator!$H$8-Calculator!$B$2, -Calculator!$E$17,-Calculator!$E$13))</f>
        <v>39632537.7</v>
      </c>
      <c r="W81" s="35">
        <f>IF(B81&gt;=Calculator!$H$7,W80*(1+Calculator!$H$3)-H81,FV(Calculator!$H$1,B81+Calculator!$H$8-Calculator!$B$2, -Calculator!$F$17,-Calculator!$F$13))+P81</f>
        <v>232499488.4</v>
      </c>
      <c r="X81" s="37">
        <f t="shared" si="12"/>
        <v>14256869.7</v>
      </c>
      <c r="Y81" s="37">
        <f>Y80*(1+Calculator!$H$6)</f>
        <v>532770.8735</v>
      </c>
      <c r="Z81" s="37">
        <f t="shared" si="8"/>
        <v>966216.6499</v>
      </c>
      <c r="AA81" s="37">
        <f t="shared" si="9"/>
        <v>13290653.05</v>
      </c>
      <c r="AB81" s="37">
        <f>AA81*Calculator!$H$5</f>
        <v>2658130.611</v>
      </c>
      <c r="AC81" s="37">
        <f t="shared" si="10"/>
        <v>17.46118066</v>
      </c>
      <c r="AD81" s="37">
        <f t="shared" si="13"/>
        <v>20258299.67</v>
      </c>
      <c r="AE81" s="36"/>
      <c r="AF81" s="36"/>
      <c r="AG81" s="36"/>
      <c r="AH81" s="36"/>
      <c r="AI81" s="36"/>
      <c r="AJ81" s="36"/>
      <c r="AK81" s="36"/>
    </row>
    <row r="82">
      <c r="A82" s="30">
        <v>2100.0</v>
      </c>
      <c r="B82" s="30">
        <f>A82-Calculator!$H$8</f>
        <v>127</v>
      </c>
      <c r="C82" s="36"/>
      <c r="D82" s="32">
        <f>IF(D81=0,IF(B82&gt;=Calculator!$H$10,Calculator!$H$11,0)*Calculator!$H$17,D81*(1+Calculator!$H$6))</f>
        <v>511949.4087</v>
      </c>
      <c r="E82" s="33">
        <f>IF(B82&gt;=Calculator!$H$9,T81*Calculator!$H$14,0)</f>
        <v>3953409.754</v>
      </c>
      <c r="F82" s="33">
        <f>IF(B82&gt;=Calculator!$H$9,U81*Calculator!$H$14,0)</f>
        <v>377587.2654</v>
      </c>
      <c r="G82" s="33">
        <f>IF(B82&gt;=Calculator!$H$7,V81*Calculator!$H$14,0)</f>
        <v>1585301.508</v>
      </c>
      <c r="H82" s="33">
        <f>IF(B82&gt;=Calculator!$H$7,IF(W81&lt;=0,0,W81*Calculator!$H$14),0)</f>
        <v>9299979.536</v>
      </c>
      <c r="I82" s="32">
        <f>IF(I81=0,IF(B82&gt;=Calculator!$H$7,Calculator!$H$12,0),I81*(1+Calculator!$H$6))</f>
        <v>0</v>
      </c>
      <c r="J82" s="34">
        <f>(D82*0.85+E82+H82+I82)*(1-Calculator!$H$5)+D82*0.15+(G82)*(1-Calculator!$H$4)+F82</f>
        <v>12831988.06</v>
      </c>
      <c r="K82" s="38">
        <f t="shared" si="1"/>
        <v>15728227.47</v>
      </c>
      <c r="L82" s="38">
        <f t="shared" si="2"/>
        <v>12859791.71</v>
      </c>
      <c r="M82" s="38">
        <f>IF(B82=Calculator!$C$2,Calculator!$B$8,M81*(1+Calculator!$H$6))</f>
        <v>2404590.015</v>
      </c>
      <c r="N82" s="32"/>
      <c r="O82" s="34">
        <f t="shared" si="3"/>
        <v>2404590.015</v>
      </c>
      <c r="P82" s="34">
        <f t="shared" si="4"/>
        <v>10455201.69</v>
      </c>
      <c r="Q82" s="34">
        <f>IF(Calculator!$H$18="Y",Q81+IF(Q81&lt;0,Q81*Calculator!$H$2,Q81*Calculator!$H$3)+P82,0)</f>
        <v>0</v>
      </c>
      <c r="R82" s="35">
        <f t="shared" si="5"/>
        <v>409882500.9</v>
      </c>
      <c r="S82" s="37">
        <f t="shared" si="6"/>
        <v>409882500.9</v>
      </c>
      <c r="T82" s="35">
        <f>IF(B82&gt;=Calculator!$H$7,T81*(1+Calculator!$H$3)-E82,FV(Calculator!$H$1,B82+Calculator!$H$8-Calculator!$B$2, -Calculator!$C$17,-Calculator!$C$13))</f>
        <v>103777006.1</v>
      </c>
      <c r="U82" s="35">
        <f>IF(B82&gt;=Calculator!$H$7,U81*(1+Calculator!$H$3)-F82,FV(Calculator!$H$1,B82+Calculator!$H$8-Calculator!$B$2, -Calculator!$D$17,-Calculator!$D$13))</f>
        <v>9911665.716</v>
      </c>
      <c r="V82" s="35">
        <f>IF(B82&gt;=Calculator!$H$7,V81*(1+Calculator!$H$3)-G82,FV(Calculator!$H$1,B82+Calculator!$H$8-Calculator!$B$2, -Calculator!$E$17,-Calculator!$E$13))</f>
        <v>41614164.58</v>
      </c>
      <c r="W82" s="35">
        <f>IF(B82&gt;=Calculator!$H$7,W81*(1+Calculator!$H$3)-H82,FV(Calculator!$H$1,B82+Calculator!$H$8-Calculator!$B$2, -Calculator!$F$17,-Calculator!$F$13))+P82</f>
        <v>254579664.5</v>
      </c>
      <c r="X82" s="37">
        <f t="shared" si="12"/>
        <v>15350640.21</v>
      </c>
      <c r="Y82" s="37">
        <f>Y81*(1+Calculator!$H$6)</f>
        <v>554081.7084</v>
      </c>
      <c r="Z82" s="37">
        <f t="shared" si="8"/>
        <v>1008461.385</v>
      </c>
      <c r="AA82" s="37">
        <f t="shared" si="9"/>
        <v>14342178.82</v>
      </c>
      <c r="AB82" s="37">
        <f>AA82*Calculator!$H$5</f>
        <v>2868435.764</v>
      </c>
      <c r="AC82" s="37">
        <f t="shared" si="10"/>
        <v>17.53418883</v>
      </c>
      <c r="AD82" s="37">
        <f t="shared" si="13"/>
        <v>22080176.11</v>
      </c>
      <c r="AE82" s="36"/>
      <c r="AF82" s="36"/>
      <c r="AG82" s="36"/>
      <c r="AH82" s="36"/>
      <c r="AI82" s="36"/>
      <c r="AJ82" s="36"/>
      <c r="AK82" s="36"/>
    </row>
    <row r="83">
      <c r="A83" s="30">
        <v>2101.0</v>
      </c>
      <c r="B83" s="30">
        <f>A83-Calculator!$H$8</f>
        <v>128</v>
      </c>
      <c r="C83" s="36"/>
      <c r="D83" s="32">
        <f>IF(D82=0,IF(B83&gt;=Calculator!$H$10,Calculator!$H$11,0)*Calculator!$H$17,D82*(1+Calculator!$H$6))</f>
        <v>532427.3851</v>
      </c>
      <c r="E83" s="33">
        <f>IF(B83&gt;=Calculator!$H$9,T82*Calculator!$H$14,0)</f>
        <v>4151080.242</v>
      </c>
      <c r="F83" s="33">
        <f>IF(B83&gt;=Calculator!$H$9,U82*Calculator!$H$14,0)</f>
        <v>396466.6286</v>
      </c>
      <c r="G83" s="33">
        <f>IF(B83&gt;=Calculator!$H$7,V82*Calculator!$H$14,0)</f>
        <v>1664566.583</v>
      </c>
      <c r="H83" s="33">
        <f>IF(B83&gt;=Calculator!$H$7,IF(W82&lt;=0,0,W82*Calculator!$H$14),0)</f>
        <v>10183186.58</v>
      </c>
      <c r="I83" s="32">
        <f>IF(I82=0,IF(B83&gt;=Calculator!$H$7,Calculator!$H$12,0),I82*(1+Calculator!$H$6))</f>
        <v>0</v>
      </c>
      <c r="J83" s="34">
        <f>(D83*0.85+E83+H83+I83)*(1-Calculator!$H$5)+D83*0.15+(G83)*(1-Calculator!$H$4)+F83</f>
        <v>13803904.74</v>
      </c>
      <c r="K83" s="38">
        <f t="shared" si="1"/>
        <v>16927727.42</v>
      </c>
      <c r="L83" s="38">
        <f t="shared" si="2"/>
        <v>13831990.4</v>
      </c>
      <c r="M83" s="38">
        <f>IF(B83=Calculator!$C$2,Calculator!$B$8,M82*(1+Calculator!$H$6))</f>
        <v>2500773.615</v>
      </c>
      <c r="N83" s="32"/>
      <c r="O83" s="34">
        <f t="shared" si="3"/>
        <v>2500773.615</v>
      </c>
      <c r="P83" s="34">
        <f t="shared" si="4"/>
        <v>11331216.79</v>
      </c>
      <c r="Q83" s="34">
        <f>IF(Calculator!$H$18="Y",Q82+IF(Q82&lt;0,Q82*Calculator!$H$2,Q82*Calculator!$H$3)+P83,0)</f>
        <v>0</v>
      </c>
      <c r="R83" s="35">
        <f t="shared" si="5"/>
        <v>441707842.7</v>
      </c>
      <c r="S83" s="37">
        <f t="shared" si="6"/>
        <v>441707842.7</v>
      </c>
      <c r="T83" s="35">
        <f>IF(B83&gt;=Calculator!$H$7,T82*(1+Calculator!$H$3)-E83,FV(Calculator!$H$1,B83+Calculator!$H$8-Calculator!$B$2, -Calculator!$C$17,-Calculator!$C$13))</f>
        <v>108965856.4</v>
      </c>
      <c r="U83" s="35">
        <f>IF(B83&gt;=Calculator!$H$7,U82*(1+Calculator!$H$3)-F83,FV(Calculator!$H$1,B83+Calculator!$H$8-Calculator!$B$2, -Calculator!$D$17,-Calculator!$D$13))</f>
        <v>10407249</v>
      </c>
      <c r="V83" s="35">
        <f>IF(B83&gt;=Calculator!$H$7,V82*(1+Calculator!$H$3)-G83,FV(Calculator!$H$1,B83+Calculator!$H$8-Calculator!$B$2, -Calculator!$E$17,-Calculator!$E$13))</f>
        <v>43694872.81</v>
      </c>
      <c r="W83" s="35">
        <f>IF(B83&gt;=Calculator!$H$7,W82*(1+Calculator!$H$3)-H83,FV(Calculator!$H$1,B83+Calculator!$H$8-Calculator!$B$2, -Calculator!$F$17,-Calculator!$F$13))+P83</f>
        <v>278639864.5</v>
      </c>
      <c r="X83" s="37">
        <f t="shared" si="12"/>
        <v>16531260.79</v>
      </c>
      <c r="Y83" s="37">
        <f>Y82*(1+Calculator!$H$6)</f>
        <v>576244.9767</v>
      </c>
      <c r="Z83" s="37">
        <f t="shared" si="8"/>
        <v>1052575.713</v>
      </c>
      <c r="AA83" s="37">
        <f t="shared" si="9"/>
        <v>15478685.08</v>
      </c>
      <c r="AB83" s="37">
        <f>AA83*Calculator!$H$5</f>
        <v>3095737.016</v>
      </c>
      <c r="AC83" s="37">
        <f t="shared" si="10"/>
        <v>17.60558348</v>
      </c>
      <c r="AD83" s="37">
        <f t="shared" si="13"/>
        <v>24060200.01</v>
      </c>
      <c r="AE83" s="36"/>
      <c r="AF83" s="36"/>
      <c r="AG83" s="36"/>
      <c r="AH83" s="36"/>
      <c r="AI83" s="36"/>
      <c r="AJ83" s="36"/>
      <c r="AK83" s="36"/>
    </row>
    <row r="84">
      <c r="A84" s="30">
        <v>2102.0</v>
      </c>
      <c r="B84" s="30">
        <f>A84-Calculator!$H$8</f>
        <v>129</v>
      </c>
      <c r="C84" s="36"/>
      <c r="D84" s="32">
        <f>IF(D83=0,IF(B84&gt;=Calculator!$H$10,Calculator!$H$11,0)*Calculator!$H$17,D83*(1+Calculator!$H$6))</f>
        <v>553724.4805</v>
      </c>
      <c r="E84" s="33">
        <f>IF(B84&gt;=Calculator!$H$9,T83*Calculator!$H$14,0)</f>
        <v>4358634.254</v>
      </c>
      <c r="F84" s="33">
        <f>IF(B84&gt;=Calculator!$H$9,U83*Calculator!$H$14,0)</f>
        <v>416289.9601</v>
      </c>
      <c r="G84" s="33">
        <f>IF(B84&gt;=Calculator!$H$7,V83*Calculator!$H$14,0)</f>
        <v>1747794.913</v>
      </c>
      <c r="H84" s="33">
        <f>IF(B84&gt;=Calculator!$H$7,IF(W83&lt;=0,0,W83*Calculator!$H$14),0)</f>
        <v>11145594.58</v>
      </c>
      <c r="I84" s="32">
        <f>IF(I83=0,IF(B84&gt;=Calculator!$H$7,Calculator!$H$12,0),I83*(1+Calculator!$H$6))</f>
        <v>0</v>
      </c>
      <c r="J84" s="34">
        <f>(D84*0.85+E84+H84+I84)*(1-Calculator!$H$5)+D84*0.15+(G84)*(1-Calculator!$H$4)+F84</f>
        <v>14852279.77</v>
      </c>
      <c r="K84" s="38">
        <f t="shared" si="1"/>
        <v>18222038.19</v>
      </c>
      <c r="L84" s="38">
        <f t="shared" si="2"/>
        <v>14880617.22</v>
      </c>
      <c r="M84" s="38">
        <f>IF(B84=Calculator!$C$2,Calculator!$B$8,M83*(1+Calculator!$H$6))</f>
        <v>2600804.56</v>
      </c>
      <c r="N84" s="32"/>
      <c r="O84" s="34">
        <f t="shared" si="3"/>
        <v>2600804.56</v>
      </c>
      <c r="P84" s="34">
        <f t="shared" si="4"/>
        <v>12279812.66</v>
      </c>
      <c r="Q84" s="34">
        <f>IF(Calculator!$H$18="Y",Q83+IF(Q83&lt;0,Q83*Calculator!$H$2,Q83*Calculator!$H$3)+P84,0)</f>
        <v>0</v>
      </c>
      <c r="R84" s="35">
        <f t="shared" si="5"/>
        <v>476073047.5</v>
      </c>
      <c r="S84" s="37">
        <f t="shared" si="6"/>
        <v>476073047.5</v>
      </c>
      <c r="T84" s="35">
        <f>IF(B84&gt;=Calculator!$H$7,T83*(1+Calculator!$H$3)-E84,FV(Calculator!$H$1,B84+Calculator!$H$8-Calculator!$B$2, -Calculator!$C$17,-Calculator!$C$13))</f>
        <v>114414149.2</v>
      </c>
      <c r="U84" s="35">
        <f>IF(B84&gt;=Calculator!$H$7,U83*(1+Calculator!$H$3)-F84,FV(Calculator!$H$1,B84+Calculator!$H$8-Calculator!$B$2, -Calculator!$D$17,-Calculator!$D$13))</f>
        <v>10927611.45</v>
      </c>
      <c r="V84" s="35">
        <f>IF(B84&gt;=Calculator!$H$7,V83*(1+Calculator!$H$3)-G84,FV(Calculator!$H$1,B84+Calculator!$H$8-Calculator!$B$2, -Calculator!$E$17,-Calculator!$E$13))</f>
        <v>45879616.45</v>
      </c>
      <c r="W84" s="35">
        <f>IF(B84&gt;=Calculator!$H$7,W83*(1+Calculator!$H$3)-H84,FV(Calculator!$H$1,B84+Calculator!$H$8-Calculator!$B$2, -Calculator!$F$17,-Calculator!$F$13))+P84</f>
        <v>304851670.4</v>
      </c>
      <c r="X84" s="37">
        <f t="shared" si="12"/>
        <v>17805748.23</v>
      </c>
      <c r="Y84" s="37">
        <f>Y83*(1+Calculator!$H$6)</f>
        <v>599294.7758</v>
      </c>
      <c r="Z84" s="37">
        <f t="shared" si="8"/>
        <v>1098643.408</v>
      </c>
      <c r="AA84" s="37">
        <f t="shared" si="9"/>
        <v>16707104.82</v>
      </c>
      <c r="AB84" s="37">
        <f>AA84*Calculator!$H$5</f>
        <v>3341420.964</v>
      </c>
      <c r="AC84" s="37">
        <f t="shared" si="10"/>
        <v>17.67536892</v>
      </c>
      <c r="AD84" s="37">
        <f t="shared" si="13"/>
        <v>26211805.89</v>
      </c>
      <c r="AE84" s="36"/>
      <c r="AF84" s="36"/>
      <c r="AG84" s="36"/>
      <c r="AH84" s="36"/>
      <c r="AI84" s="36"/>
      <c r="AJ84" s="36"/>
      <c r="AK84" s="36"/>
    </row>
    <row r="85">
      <c r="A85" s="30">
        <v>2103.0</v>
      </c>
      <c r="B85" s="30">
        <f>A85-Calculator!$H$8</f>
        <v>130</v>
      </c>
      <c r="C85" s="36"/>
      <c r="D85" s="32">
        <f>IF(D84=0,IF(B85&gt;=Calculator!$H$10,Calculator!$H$11,0)*Calculator!$H$17,D84*(1+Calculator!$H$6))</f>
        <v>575873.4597</v>
      </c>
      <c r="E85" s="33">
        <f>IF(B85&gt;=Calculator!$H$9,T84*Calculator!$H$14,0)</f>
        <v>4576565.967</v>
      </c>
      <c r="F85" s="33">
        <f>IF(B85&gt;=Calculator!$H$9,U84*Calculator!$H$14,0)</f>
        <v>437104.4581</v>
      </c>
      <c r="G85" s="33">
        <f>IF(B85&gt;=Calculator!$H$7,V84*Calculator!$H$14,0)</f>
        <v>1835184.658</v>
      </c>
      <c r="H85" s="33">
        <f>IF(B85&gt;=Calculator!$H$7,IF(W84&lt;=0,0,W84*Calculator!$H$14),0)</f>
        <v>12194066.82</v>
      </c>
      <c r="I85" s="32">
        <f>IF(I84=0,IF(B85&gt;=Calculator!$H$7,Calculator!$H$12,0),I84*(1+Calculator!$H$6))</f>
        <v>0</v>
      </c>
      <c r="J85" s="34">
        <f>(D85*0.85+E85+H85+I85)*(1-Calculator!$H$5)+D85*0.15+(G85)*(1-Calculator!$H$4)+F85</f>
        <v>15983251.85</v>
      </c>
      <c r="K85" s="38">
        <f t="shared" si="1"/>
        <v>19618795.36</v>
      </c>
      <c r="L85" s="38">
        <f t="shared" si="2"/>
        <v>16011807.59</v>
      </c>
      <c r="M85" s="38">
        <f>IF(B85=Calculator!$C$2,Calculator!$B$8,M84*(1+Calculator!$H$6))</f>
        <v>2704836.742</v>
      </c>
      <c r="N85" s="32"/>
      <c r="O85" s="34">
        <f t="shared" si="3"/>
        <v>2704836.742</v>
      </c>
      <c r="P85" s="34">
        <f t="shared" si="4"/>
        <v>13306970.85</v>
      </c>
      <c r="Q85" s="34">
        <f>IF(Calculator!$H$18="Y",Q84+IF(Q84&lt;0,Q84*Calculator!$H$2,Q84*Calculator!$H$3)+P85,0)</f>
        <v>0</v>
      </c>
      <c r="R85" s="35">
        <f t="shared" si="5"/>
        <v>513183670.7</v>
      </c>
      <c r="S85" s="37">
        <f t="shared" si="6"/>
        <v>513183670.7</v>
      </c>
      <c r="T85" s="35">
        <f>IF(B85&gt;=Calculator!$H$7,T84*(1+Calculator!$H$3)-E85,FV(Calculator!$H$1,B85+Calculator!$H$8-Calculator!$B$2, -Calculator!$C$17,-Calculator!$C$13))</f>
        <v>120134856.6</v>
      </c>
      <c r="U85" s="35">
        <f>IF(B85&gt;=Calculator!$H$7,U84*(1+Calculator!$H$3)-F85,FV(Calculator!$H$1,B85+Calculator!$H$8-Calculator!$B$2, -Calculator!$D$17,-Calculator!$D$13))</f>
        <v>11473992.02</v>
      </c>
      <c r="V85" s="35">
        <f>IF(B85&gt;=Calculator!$H$7,V84*(1+Calculator!$H$3)-G85,FV(Calculator!$H$1,B85+Calculator!$H$8-Calculator!$B$2, -Calculator!$E$17,-Calculator!$E$13))</f>
        <v>48173597.28</v>
      </c>
      <c r="W85" s="35">
        <f>IF(B85&gt;=Calculator!$H$7,W84*(1+Calculator!$H$3)-H85,FV(Calculator!$H$1,B85+Calculator!$H$8-Calculator!$B$2, -Calculator!$F$17,-Calculator!$F$13))+P85</f>
        <v>333401224.8</v>
      </c>
      <c r="X85" s="37">
        <f t="shared" si="12"/>
        <v>19181690.9</v>
      </c>
      <c r="Y85" s="37">
        <f>Y84*(1+Calculator!$H$6)</f>
        <v>623266.5668</v>
      </c>
      <c r="Z85" s="37">
        <f t="shared" si="8"/>
        <v>1146752.044</v>
      </c>
      <c r="AA85" s="37">
        <f t="shared" si="9"/>
        <v>18034938.86</v>
      </c>
      <c r="AB85" s="37">
        <f>AA85*Calculator!$H$5</f>
        <v>3606987.772</v>
      </c>
      <c r="AC85" s="37">
        <f t="shared" si="10"/>
        <v>17.74355164</v>
      </c>
      <c r="AD85" s="37">
        <f t="shared" si="13"/>
        <v>28549554.37</v>
      </c>
      <c r="AE85" s="36"/>
      <c r="AF85" s="36"/>
      <c r="AG85" s="36"/>
      <c r="AH85" s="36"/>
      <c r="AI85" s="36"/>
      <c r="AJ85" s="36"/>
      <c r="AK85" s="36"/>
    </row>
    <row r="86">
      <c r="A86" s="30">
        <v>2104.0</v>
      </c>
      <c r="B86" s="30">
        <f>A86-Calculator!$H$8</f>
        <v>131</v>
      </c>
      <c r="C86" s="36"/>
      <c r="D86" s="32">
        <f>IF(D85=0,IF(B86&gt;=Calculator!$H$10,Calculator!$H$11,0)*Calculator!$H$17,D85*(1+Calculator!$H$6))</f>
        <v>598908.3981</v>
      </c>
      <c r="E86" s="33">
        <f>IF(B86&gt;=Calculator!$H$9,T85*Calculator!$H$14,0)</f>
        <v>4805394.265</v>
      </c>
      <c r="F86" s="33">
        <f>IF(B86&gt;=Calculator!$H$9,U85*Calculator!$H$14,0)</f>
        <v>458959.681</v>
      </c>
      <c r="G86" s="33">
        <f>IF(B86&gt;=Calculator!$H$7,V85*Calculator!$H$14,0)</f>
        <v>1926943.891</v>
      </c>
      <c r="H86" s="33">
        <f>IF(B86&gt;=Calculator!$H$7,IF(W85&lt;=0,0,W85*Calculator!$H$14),0)</f>
        <v>13336048.99</v>
      </c>
      <c r="I86" s="32">
        <f>IF(I85=0,IF(B86&gt;=Calculator!$H$7,Calculator!$H$12,0),I85*(1+Calculator!$H$6))</f>
        <v>0</v>
      </c>
      <c r="J86" s="34">
        <f>(D86*0.85+E86+H86+I86)*(1-Calculator!$H$5)+D86*0.15+(G86)*(1-Calculator!$H$4)+F86</f>
        <v>17203457.76</v>
      </c>
      <c r="K86" s="38">
        <f t="shared" si="1"/>
        <v>21126255.23</v>
      </c>
      <c r="L86" s="38">
        <f t="shared" si="2"/>
        <v>17232194.75</v>
      </c>
      <c r="M86" s="38">
        <f>IF(B86=Calculator!$C$2,Calculator!$B$8,M85*(1+Calculator!$H$6))</f>
        <v>2813030.212</v>
      </c>
      <c r="N86" s="32"/>
      <c r="O86" s="34">
        <f t="shared" si="3"/>
        <v>2813030.212</v>
      </c>
      <c r="P86" s="34">
        <f t="shared" si="4"/>
        <v>14419164.54</v>
      </c>
      <c r="Q86" s="34">
        <f>IF(Calculator!$H$18="Y",Q85+IF(Q85&lt;0,Q85*Calculator!$H$2,Q85*Calculator!$H$3)+P86,0)</f>
        <v>0</v>
      </c>
      <c r="R86" s="35">
        <f t="shared" si="5"/>
        <v>553262018.8</v>
      </c>
      <c r="S86" s="37">
        <f t="shared" si="6"/>
        <v>553262018.8</v>
      </c>
      <c r="T86" s="35">
        <f>IF(B86&gt;=Calculator!$H$7,T85*(1+Calculator!$H$3)-E86,FV(Calculator!$H$1,B86+Calculator!$H$8-Calculator!$B$2, -Calculator!$C$17,-Calculator!$C$13))</f>
        <v>126141599.5</v>
      </c>
      <c r="U86" s="35">
        <f>IF(B86&gt;=Calculator!$H$7,U85*(1+Calculator!$H$3)-F86,FV(Calculator!$H$1,B86+Calculator!$H$8-Calculator!$B$2, -Calculator!$D$17,-Calculator!$D$13))</f>
        <v>12047691.63</v>
      </c>
      <c r="V86" s="35">
        <f>IF(B86&gt;=Calculator!$H$7,V85*(1+Calculator!$H$3)-G86,FV(Calculator!$H$1,B86+Calculator!$H$8-Calculator!$B$2, -Calculator!$E$17,-Calculator!$E$13))</f>
        <v>50582277.14</v>
      </c>
      <c r="W86" s="35">
        <f>IF(B86&gt;=Calculator!$H$7,W85*(1+Calculator!$H$3)-H86,FV(Calculator!$H$1,B86+Calculator!$H$8-Calculator!$B$2, -Calculator!$F$17,-Calculator!$F$13))+P86</f>
        <v>364490450.6</v>
      </c>
      <c r="X86" s="37">
        <f t="shared" si="12"/>
        <v>20667295.55</v>
      </c>
      <c r="Y86" s="37">
        <f>Y85*(1+Calculator!$H$6)</f>
        <v>648197.2295</v>
      </c>
      <c r="Z86" s="37">
        <f t="shared" si="8"/>
        <v>1196993.17</v>
      </c>
      <c r="AA86" s="37">
        <f t="shared" si="9"/>
        <v>19470302.38</v>
      </c>
      <c r="AB86" s="37">
        <f>AA86*Calculator!$H$5</f>
        <v>3894060.475</v>
      </c>
      <c r="AC86" s="37">
        <f t="shared" si="10"/>
        <v>17.8101402</v>
      </c>
      <c r="AD86" s="37">
        <f t="shared" si="13"/>
        <v>31089225.78</v>
      </c>
      <c r="AE86" s="36"/>
      <c r="AF86" s="36"/>
      <c r="AG86" s="36"/>
      <c r="AH86" s="36"/>
      <c r="AI86" s="36"/>
      <c r="AJ86" s="36"/>
      <c r="AK86" s="36"/>
    </row>
    <row r="87">
      <c r="A87" s="30">
        <v>2105.0</v>
      </c>
      <c r="B87" s="30">
        <f>A87-Calculator!$H$8</f>
        <v>132</v>
      </c>
      <c r="C87" s="36"/>
      <c r="D87" s="32">
        <f>IF(D86=0,IF(B87&gt;=Calculator!$H$10,Calculator!$H$11,0)*Calculator!$H$17,D86*(1+Calculator!$H$6))</f>
        <v>622864.734</v>
      </c>
      <c r="E87" s="33">
        <f>IF(B87&gt;=Calculator!$H$9,T86*Calculator!$H$14,0)</f>
        <v>5045663.979</v>
      </c>
      <c r="F87" s="33">
        <f>IF(B87&gt;=Calculator!$H$9,U86*Calculator!$H$14,0)</f>
        <v>481907.665</v>
      </c>
      <c r="G87" s="33">
        <f>IF(B87&gt;=Calculator!$H$7,V86*Calculator!$H$14,0)</f>
        <v>2023291.086</v>
      </c>
      <c r="H87" s="33">
        <f>IF(B87&gt;=Calculator!$H$7,IF(W86&lt;=0,0,W86*Calculator!$H$14),0)</f>
        <v>14579618.02</v>
      </c>
      <c r="I87" s="32">
        <f>IF(I86=0,IF(B87&gt;=Calculator!$H$7,Calculator!$H$12,0),I86*(1+Calculator!$H$6))</f>
        <v>0</v>
      </c>
      <c r="J87" s="34">
        <f>(D87*0.85+E87+H87+I87)*(1-Calculator!$H$5)+D87*0.15+(G87)*(1-Calculator!$H$4)+F87</f>
        <v>18520072.97</v>
      </c>
      <c r="K87" s="38">
        <f t="shared" si="1"/>
        <v>22753345.49</v>
      </c>
      <c r="L87" s="38">
        <f t="shared" si="2"/>
        <v>18548950.42</v>
      </c>
      <c r="M87" s="38">
        <f>IF(B87=Calculator!$C$2,Calculator!$B$8,M86*(1+Calculator!$H$6))</f>
        <v>2925551.42</v>
      </c>
      <c r="N87" s="32"/>
      <c r="O87" s="34">
        <f t="shared" si="3"/>
        <v>2925551.42</v>
      </c>
      <c r="P87" s="34">
        <f t="shared" si="4"/>
        <v>15623399</v>
      </c>
      <c r="Q87" s="34">
        <f>IF(Calculator!$H$18="Y",Q86+IF(Q86&lt;0,Q86*Calculator!$H$2,Q86*Calculator!$H$3)+P87,0)</f>
        <v>0</v>
      </c>
      <c r="R87" s="35">
        <f t="shared" si="5"/>
        <v>596548518.7</v>
      </c>
      <c r="S87" s="37">
        <f t="shared" si="6"/>
        <v>596548518.7</v>
      </c>
      <c r="T87" s="35">
        <f>IF(B87&gt;=Calculator!$H$7,T86*(1+Calculator!$H$3)-E87,FV(Calculator!$H$1,B87+Calculator!$H$8-Calculator!$B$2, -Calculator!$C$17,-Calculator!$C$13))</f>
        <v>132448679.4</v>
      </c>
      <c r="U87" s="35">
        <f>IF(B87&gt;=Calculator!$H$7,U86*(1+Calculator!$H$3)-F87,FV(Calculator!$H$1,B87+Calculator!$H$8-Calculator!$B$2, -Calculator!$D$17,-Calculator!$D$13))</f>
        <v>12650076.21</v>
      </c>
      <c r="V87" s="35">
        <f>IF(B87&gt;=Calculator!$H$7,V86*(1+Calculator!$H$3)-G87,FV(Calculator!$H$1,B87+Calculator!$H$8-Calculator!$B$2, -Calculator!$E$17,-Calculator!$E$13))</f>
        <v>53111391</v>
      </c>
      <c r="W87" s="35">
        <f>IF(B87&gt;=Calculator!$H$7,W86*(1+Calculator!$H$3)-H87,FV(Calculator!$H$1,B87+Calculator!$H$8-Calculator!$B$2, -Calculator!$F$17,-Calculator!$F$13))+P87</f>
        <v>398338372.1</v>
      </c>
      <c r="X87" s="37">
        <f t="shared" si="12"/>
        <v>22271437.82</v>
      </c>
      <c r="Y87" s="37">
        <f>Y86*(1+Calculator!$H$6)</f>
        <v>674125.1187</v>
      </c>
      <c r="Z87" s="37">
        <f t="shared" si="8"/>
        <v>1249462.494</v>
      </c>
      <c r="AA87" s="37">
        <f t="shared" si="9"/>
        <v>21021975.33</v>
      </c>
      <c r="AB87" s="37">
        <f>AA87*Calculator!$H$5</f>
        <v>4204395.065</v>
      </c>
      <c r="AC87" s="37">
        <f t="shared" si="10"/>
        <v>17.87514512</v>
      </c>
      <c r="AD87" s="37">
        <f t="shared" si="13"/>
        <v>33847921.53</v>
      </c>
      <c r="AE87" s="36"/>
      <c r="AF87" s="36"/>
      <c r="AG87" s="36"/>
      <c r="AH87" s="36"/>
      <c r="AI87" s="36"/>
      <c r="AJ87" s="36"/>
      <c r="AK87" s="36"/>
    </row>
    <row r="88">
      <c r="A88" s="30">
        <v>2106.0</v>
      </c>
      <c r="B88" s="30">
        <f>A88-Calculator!$H$8</f>
        <v>133</v>
      </c>
      <c r="C88" s="36"/>
      <c r="D88" s="32">
        <f>IF(D87=0,IF(B88&gt;=Calculator!$H$10,Calculator!$H$11,0)*Calculator!$H$17,D87*(1+Calculator!$H$6))</f>
        <v>647779.3234</v>
      </c>
      <c r="E88" s="33">
        <f>IF(B88&gt;=Calculator!$H$9,T87*Calculator!$H$14,0)</f>
        <v>5297947.177</v>
      </c>
      <c r="F88" s="33">
        <f>IF(B88&gt;=Calculator!$H$9,U87*Calculator!$H$14,0)</f>
        <v>506003.0483</v>
      </c>
      <c r="G88" s="33">
        <f>IF(B88&gt;=Calculator!$H$7,V87*Calculator!$H$14,0)</f>
        <v>2124455.64</v>
      </c>
      <c r="H88" s="33">
        <f>IF(B88&gt;=Calculator!$H$7,IF(W87&lt;=0,0,W87*Calculator!$H$14),0)</f>
        <v>15933534.88</v>
      </c>
      <c r="I88" s="32">
        <f>IF(I87=0,IF(B88&gt;=Calculator!$H$7,Calculator!$H$12,0),I87*(1+Calculator!$H$6))</f>
        <v>0</v>
      </c>
      <c r="J88" s="34">
        <f>(D88*0.85+E88+H88+I88)*(1-Calculator!$H$5)+D88*0.15+(G88)*(1-Calculator!$H$4)+F88</f>
        <v>19940855.61</v>
      </c>
      <c r="K88" s="38">
        <f t="shared" si="1"/>
        <v>24509720.07</v>
      </c>
      <c r="L88" s="38">
        <f t="shared" si="2"/>
        <v>19969828.68</v>
      </c>
      <c r="M88" s="38">
        <f>IF(B88=Calculator!$C$2,Calculator!$B$8,M87*(1+Calculator!$H$6))</f>
        <v>3042573.477</v>
      </c>
      <c r="N88" s="32"/>
      <c r="O88" s="34">
        <f t="shared" si="3"/>
        <v>3042573.477</v>
      </c>
      <c r="P88" s="34">
        <f t="shared" si="4"/>
        <v>16927255.2</v>
      </c>
      <c r="Q88" s="34">
        <f>IF(Calculator!$H$18="Y",Q87+IF(Q87&lt;0,Q87*Calculator!$H$2,Q87*Calculator!$H$3)+P88,0)</f>
        <v>0</v>
      </c>
      <c r="R88" s="35">
        <f t="shared" si="5"/>
        <v>643303199.9</v>
      </c>
      <c r="S88" s="37">
        <f t="shared" si="6"/>
        <v>643303199.9</v>
      </c>
      <c r="T88" s="35">
        <f>IF(B88&gt;=Calculator!$H$7,T87*(1+Calculator!$H$3)-E88,FV(Calculator!$H$1,B88+Calculator!$H$8-Calculator!$B$2, -Calculator!$C$17,-Calculator!$C$13))</f>
        <v>139071113.4</v>
      </c>
      <c r="U88" s="35">
        <f>IF(B88&gt;=Calculator!$H$7,U87*(1+Calculator!$H$3)-F88,FV(Calculator!$H$1,B88+Calculator!$H$8-Calculator!$B$2, -Calculator!$D$17,-Calculator!$D$13))</f>
        <v>13282580.02</v>
      </c>
      <c r="V88" s="35">
        <f>IF(B88&gt;=Calculator!$H$7,V87*(1+Calculator!$H$3)-G88,FV(Calculator!$H$1,B88+Calculator!$H$8-Calculator!$B$2, -Calculator!$E$17,-Calculator!$E$13))</f>
        <v>55766960.55</v>
      </c>
      <c r="W88" s="35">
        <f>IF(B88&gt;=Calculator!$H$7,W87*(1+Calculator!$H$3)-H88,FV(Calculator!$H$1,B88+Calculator!$H$8-Calculator!$B$2, -Calculator!$F$17,-Calculator!$F$13))+P88</f>
        <v>435182545.9</v>
      </c>
      <c r="X88" s="37">
        <f t="shared" si="12"/>
        <v>24003717.02</v>
      </c>
      <c r="Y88" s="37">
        <f>Y87*(1+Calculator!$H$6)</f>
        <v>701090.1235</v>
      </c>
      <c r="Z88" s="37">
        <f t="shared" si="8"/>
        <v>1304260.07</v>
      </c>
      <c r="AA88" s="37">
        <f t="shared" si="9"/>
        <v>22699456.95</v>
      </c>
      <c r="AB88" s="37">
        <f>AA88*Calculator!$H$5</f>
        <v>4539891.391</v>
      </c>
      <c r="AC88" s="37">
        <f t="shared" si="10"/>
        <v>17.93857871</v>
      </c>
      <c r="AD88" s="37">
        <f t="shared" si="13"/>
        <v>36844173.81</v>
      </c>
      <c r="AE88" s="36"/>
      <c r="AF88" s="36"/>
      <c r="AG88" s="36"/>
      <c r="AH88" s="36"/>
      <c r="AI88" s="36"/>
      <c r="AJ88" s="36"/>
      <c r="AK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5"/>
      <c r="U89" s="36"/>
      <c r="V89" s="36"/>
      <c r="W89" s="36"/>
      <c r="X89" s="36"/>
      <c r="Y89" s="37"/>
      <c r="Z89" s="36"/>
      <c r="AA89" s="37"/>
      <c r="AB89" s="37"/>
      <c r="AC89" s="37"/>
      <c r="AD89" s="36"/>
      <c r="AE89" s="36"/>
      <c r="AF89" s="36"/>
      <c r="AG89" s="36"/>
      <c r="AH89" s="36"/>
      <c r="AI89" s="36"/>
      <c r="AJ89" s="36"/>
      <c r="AK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7"/>
      <c r="Z90" s="36"/>
      <c r="AA90" s="37"/>
      <c r="AB90" s="37"/>
      <c r="AC90" s="37"/>
      <c r="AD90" s="36"/>
      <c r="AE90" s="36"/>
      <c r="AF90" s="36"/>
      <c r="AG90" s="36"/>
      <c r="AH90" s="36"/>
      <c r="AI90" s="36"/>
      <c r="AJ90" s="36"/>
      <c r="AK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7"/>
      <c r="Z91" s="36"/>
      <c r="AA91" s="37"/>
      <c r="AB91" s="37"/>
      <c r="AC91" s="37"/>
      <c r="AD91" s="36"/>
      <c r="AE91" s="36"/>
      <c r="AF91" s="36"/>
      <c r="AG91" s="36"/>
      <c r="AH91" s="36"/>
      <c r="AI91" s="36"/>
      <c r="AJ91" s="36"/>
      <c r="AK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7"/>
      <c r="Z92" s="36"/>
      <c r="AA92" s="37"/>
      <c r="AB92" s="37"/>
      <c r="AC92" s="37"/>
      <c r="AD92" s="36"/>
      <c r="AE92" s="36"/>
      <c r="AF92" s="36"/>
      <c r="AG92" s="36"/>
      <c r="AH92" s="36"/>
      <c r="AI92" s="36"/>
      <c r="AJ92" s="36"/>
      <c r="AK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7"/>
      <c r="Z93" s="36"/>
      <c r="AA93" s="37"/>
      <c r="AB93" s="37"/>
      <c r="AC93" s="37"/>
      <c r="AD93" s="36"/>
      <c r="AE93" s="36"/>
      <c r="AF93" s="36"/>
      <c r="AG93" s="36"/>
      <c r="AH93" s="36"/>
      <c r="AI93" s="36"/>
      <c r="AJ93" s="36"/>
      <c r="AK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7"/>
      <c r="Z94" s="36"/>
      <c r="AA94" s="37"/>
      <c r="AB94" s="37"/>
      <c r="AC94" s="37"/>
      <c r="AD94" s="36"/>
      <c r="AE94" s="36"/>
      <c r="AF94" s="36"/>
      <c r="AG94" s="36"/>
      <c r="AH94" s="36"/>
      <c r="AI94" s="36"/>
      <c r="AJ94" s="36"/>
      <c r="AK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7"/>
      <c r="Z95" s="36"/>
      <c r="AA95" s="37"/>
      <c r="AB95" s="37"/>
      <c r="AC95" s="37"/>
      <c r="AD95" s="36"/>
      <c r="AE95" s="36"/>
      <c r="AF95" s="36"/>
      <c r="AG95" s="36"/>
      <c r="AH95" s="36"/>
      <c r="AI95" s="36"/>
      <c r="AJ95" s="36"/>
      <c r="AK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7"/>
      <c r="Z96" s="36"/>
      <c r="AA96" s="37"/>
      <c r="AB96" s="37"/>
      <c r="AC96" s="37"/>
      <c r="AD96" s="36"/>
      <c r="AE96" s="36"/>
      <c r="AF96" s="36"/>
      <c r="AG96" s="36"/>
      <c r="AH96" s="36"/>
      <c r="AI96" s="36"/>
      <c r="AJ96" s="36"/>
      <c r="AK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7"/>
      <c r="Z97" s="36"/>
      <c r="AA97" s="37"/>
      <c r="AB97" s="37"/>
      <c r="AC97" s="37"/>
      <c r="AD97" s="36"/>
      <c r="AE97" s="36"/>
      <c r="AF97" s="36"/>
      <c r="AG97" s="36"/>
      <c r="AH97" s="36"/>
      <c r="AI97" s="36"/>
      <c r="AJ97" s="36"/>
      <c r="AK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7"/>
      <c r="Z98" s="36"/>
      <c r="AA98" s="37"/>
      <c r="AB98" s="37"/>
      <c r="AC98" s="37"/>
      <c r="AD98" s="36"/>
      <c r="AE98" s="36"/>
      <c r="AF98" s="36"/>
      <c r="AG98" s="36"/>
      <c r="AH98" s="36"/>
      <c r="AI98" s="36"/>
      <c r="AJ98" s="36"/>
      <c r="AK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7"/>
      <c r="Z99" s="36"/>
      <c r="AA99" s="37"/>
      <c r="AB99" s="37"/>
      <c r="AC99" s="37"/>
      <c r="AD99" s="36"/>
      <c r="AE99" s="36"/>
      <c r="AF99" s="36"/>
      <c r="AG99" s="36"/>
      <c r="AH99" s="36"/>
      <c r="AI99" s="36"/>
      <c r="AJ99" s="36"/>
      <c r="AK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7"/>
      <c r="Z100" s="36"/>
      <c r="AA100" s="37"/>
      <c r="AB100" s="37"/>
      <c r="AC100" s="37"/>
      <c r="AD100" s="36"/>
      <c r="AE100" s="36"/>
      <c r="AF100" s="36"/>
      <c r="AG100" s="36"/>
      <c r="AH100" s="36"/>
      <c r="AI100" s="36"/>
      <c r="AJ100" s="36"/>
      <c r="AK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7"/>
      <c r="Z101" s="36"/>
      <c r="AA101" s="37"/>
      <c r="AB101" s="37"/>
      <c r="AC101" s="37"/>
      <c r="AD101" s="36"/>
      <c r="AE101" s="36"/>
      <c r="AF101" s="36"/>
      <c r="AG101" s="36"/>
      <c r="AH101" s="36"/>
      <c r="AI101" s="36"/>
      <c r="AJ101" s="36"/>
      <c r="AK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7"/>
      <c r="Z102" s="36"/>
      <c r="AA102" s="37"/>
      <c r="AB102" s="37"/>
      <c r="AC102" s="37"/>
      <c r="AD102" s="36"/>
      <c r="AE102" s="36"/>
      <c r="AF102" s="36"/>
      <c r="AG102" s="36"/>
      <c r="AH102" s="36"/>
      <c r="AI102" s="36"/>
      <c r="AJ102" s="36"/>
      <c r="AK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7"/>
      <c r="Z103" s="36"/>
      <c r="AA103" s="37"/>
      <c r="AB103" s="37"/>
      <c r="AC103" s="37"/>
      <c r="AD103" s="36"/>
      <c r="AE103" s="36"/>
      <c r="AF103" s="36"/>
      <c r="AG103" s="36"/>
      <c r="AH103" s="36"/>
      <c r="AI103" s="36"/>
      <c r="AJ103" s="36"/>
      <c r="AK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7"/>
      <c r="Z104" s="36"/>
      <c r="AA104" s="37"/>
      <c r="AB104" s="37"/>
      <c r="AC104" s="37"/>
      <c r="AD104" s="36"/>
      <c r="AE104" s="36"/>
      <c r="AF104" s="36"/>
      <c r="AG104" s="36"/>
      <c r="AH104" s="36"/>
      <c r="AI104" s="36"/>
      <c r="AJ104" s="36"/>
      <c r="AK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7"/>
      <c r="Z105" s="36"/>
      <c r="AA105" s="37"/>
      <c r="AB105" s="37"/>
      <c r="AC105" s="37"/>
      <c r="AD105" s="36"/>
      <c r="AE105" s="36"/>
      <c r="AF105" s="36"/>
      <c r="AG105" s="36"/>
      <c r="AH105" s="36"/>
      <c r="AI105" s="36"/>
      <c r="AJ105" s="36"/>
      <c r="AK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7"/>
      <c r="Z106" s="36"/>
      <c r="AA106" s="37"/>
      <c r="AB106" s="37"/>
      <c r="AC106" s="37"/>
      <c r="AD106" s="36"/>
      <c r="AE106" s="36"/>
      <c r="AF106" s="36"/>
      <c r="AG106" s="36"/>
      <c r="AH106" s="36"/>
      <c r="AI106" s="36"/>
      <c r="AJ106" s="36"/>
      <c r="AK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7"/>
      <c r="Z107" s="36"/>
      <c r="AA107" s="37"/>
      <c r="AB107" s="37"/>
      <c r="AC107" s="37"/>
      <c r="AD107" s="36"/>
      <c r="AE107" s="36"/>
      <c r="AF107" s="36"/>
      <c r="AG107" s="36"/>
      <c r="AH107" s="36"/>
      <c r="AI107" s="36"/>
      <c r="AJ107" s="36"/>
      <c r="AK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7"/>
      <c r="Z108" s="36"/>
      <c r="AA108" s="37"/>
      <c r="AB108" s="37"/>
      <c r="AC108" s="37"/>
      <c r="AD108" s="36"/>
      <c r="AE108" s="36"/>
      <c r="AF108" s="36"/>
      <c r="AG108" s="36"/>
      <c r="AH108" s="36"/>
      <c r="AI108" s="36"/>
      <c r="AJ108" s="36"/>
      <c r="AK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7"/>
      <c r="Z109" s="36"/>
      <c r="AA109" s="37"/>
      <c r="AB109" s="37"/>
      <c r="AC109" s="37"/>
      <c r="AD109" s="36"/>
      <c r="AE109" s="36"/>
      <c r="AF109" s="36"/>
      <c r="AG109" s="36"/>
      <c r="AH109" s="36"/>
      <c r="AI109" s="36"/>
      <c r="AJ109" s="36"/>
      <c r="AK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7"/>
      <c r="Z110" s="36"/>
      <c r="AA110" s="37"/>
      <c r="AB110" s="37"/>
      <c r="AC110" s="37"/>
      <c r="AD110" s="36"/>
      <c r="AE110" s="36"/>
      <c r="AF110" s="36"/>
      <c r="AG110" s="36"/>
      <c r="AH110" s="36"/>
      <c r="AI110" s="36"/>
      <c r="AJ110" s="36"/>
      <c r="AK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7"/>
      <c r="Z111" s="36"/>
      <c r="AA111" s="37"/>
      <c r="AB111" s="37"/>
      <c r="AC111" s="37"/>
      <c r="AD111" s="36"/>
      <c r="AE111" s="36"/>
      <c r="AF111" s="36"/>
      <c r="AG111" s="36"/>
      <c r="AH111" s="36"/>
      <c r="AI111" s="36"/>
      <c r="AJ111" s="36"/>
      <c r="AK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7"/>
      <c r="Z112" s="36"/>
      <c r="AA112" s="37"/>
      <c r="AB112" s="37"/>
      <c r="AC112" s="37"/>
      <c r="AD112" s="36"/>
      <c r="AE112" s="36"/>
      <c r="AF112" s="36"/>
      <c r="AG112" s="36"/>
      <c r="AH112" s="36"/>
      <c r="AI112" s="36"/>
      <c r="AJ112" s="36"/>
      <c r="AK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7"/>
      <c r="Z113" s="36"/>
      <c r="AA113" s="37"/>
      <c r="AB113" s="37"/>
      <c r="AC113" s="37"/>
      <c r="AD113" s="36"/>
      <c r="AE113" s="36"/>
      <c r="AF113" s="36"/>
      <c r="AG113" s="36"/>
      <c r="AH113" s="36"/>
      <c r="AI113" s="36"/>
      <c r="AJ113" s="36"/>
      <c r="AK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7"/>
      <c r="Z114" s="36"/>
      <c r="AA114" s="37"/>
      <c r="AB114" s="37"/>
      <c r="AC114" s="37"/>
      <c r="AD114" s="36"/>
      <c r="AE114" s="36"/>
      <c r="AF114" s="36"/>
      <c r="AG114" s="36"/>
      <c r="AH114" s="36"/>
      <c r="AI114" s="36"/>
      <c r="AJ114" s="36"/>
      <c r="AK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7"/>
      <c r="Z115" s="36"/>
      <c r="AA115" s="37"/>
      <c r="AB115" s="37"/>
      <c r="AC115" s="37"/>
      <c r="AD115" s="36"/>
      <c r="AE115" s="36"/>
      <c r="AF115" s="36"/>
      <c r="AG115" s="36"/>
      <c r="AH115" s="36"/>
      <c r="AI115" s="36"/>
      <c r="AJ115" s="36"/>
      <c r="AK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7"/>
      <c r="Z116" s="36"/>
      <c r="AA116" s="37"/>
      <c r="AB116" s="37"/>
      <c r="AC116" s="37"/>
      <c r="AD116" s="36"/>
      <c r="AE116" s="36"/>
      <c r="AF116" s="36"/>
      <c r="AG116" s="36"/>
      <c r="AH116" s="36"/>
      <c r="AI116" s="36"/>
      <c r="AJ116" s="36"/>
      <c r="AK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7"/>
      <c r="Z117" s="36"/>
      <c r="AA117" s="37"/>
      <c r="AB117" s="37"/>
      <c r="AC117" s="37"/>
      <c r="AD117" s="36"/>
      <c r="AE117" s="36"/>
      <c r="AF117" s="36"/>
      <c r="AG117" s="36"/>
      <c r="AH117" s="36"/>
      <c r="AI117" s="36"/>
      <c r="AJ117" s="36"/>
      <c r="AK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7"/>
      <c r="Z118" s="36"/>
      <c r="AA118" s="37"/>
      <c r="AB118" s="37"/>
      <c r="AC118" s="37"/>
      <c r="AD118" s="36"/>
      <c r="AE118" s="36"/>
      <c r="AF118" s="36"/>
      <c r="AG118" s="36"/>
      <c r="AH118" s="36"/>
      <c r="AI118" s="36"/>
      <c r="AJ118" s="36"/>
      <c r="AK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7"/>
      <c r="Z119" s="36"/>
      <c r="AA119" s="37"/>
      <c r="AB119" s="37"/>
      <c r="AC119" s="37"/>
      <c r="AD119" s="36"/>
      <c r="AE119" s="36"/>
      <c r="AF119" s="36"/>
      <c r="AG119" s="36"/>
      <c r="AH119" s="36"/>
      <c r="AI119" s="36"/>
      <c r="AJ119" s="36"/>
      <c r="AK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7"/>
      <c r="Z120" s="36"/>
      <c r="AA120" s="37"/>
      <c r="AB120" s="37"/>
      <c r="AC120" s="37"/>
      <c r="AD120" s="36"/>
      <c r="AE120" s="36"/>
      <c r="AF120" s="36"/>
      <c r="AG120" s="36"/>
      <c r="AH120" s="36"/>
      <c r="AI120" s="36"/>
      <c r="AJ120" s="36"/>
      <c r="AK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7"/>
      <c r="Z121" s="36"/>
      <c r="AA121" s="37"/>
      <c r="AB121" s="37"/>
      <c r="AC121" s="37"/>
      <c r="AD121" s="36"/>
      <c r="AE121" s="36"/>
      <c r="AF121" s="36"/>
      <c r="AG121" s="36"/>
      <c r="AH121" s="36"/>
      <c r="AI121" s="36"/>
      <c r="AJ121" s="36"/>
      <c r="AK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7"/>
      <c r="Z122" s="36"/>
      <c r="AA122" s="37"/>
      <c r="AB122" s="37"/>
      <c r="AC122" s="37"/>
      <c r="AD122" s="36"/>
      <c r="AE122" s="36"/>
      <c r="AF122" s="36"/>
      <c r="AG122" s="36"/>
      <c r="AH122" s="36"/>
      <c r="AI122" s="36"/>
      <c r="AJ122" s="36"/>
      <c r="AK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7"/>
      <c r="Z123" s="36"/>
      <c r="AA123" s="37"/>
      <c r="AB123" s="37"/>
      <c r="AC123" s="37"/>
      <c r="AD123" s="36"/>
      <c r="AE123" s="36"/>
      <c r="AF123" s="36"/>
      <c r="AG123" s="36"/>
      <c r="AH123" s="36"/>
      <c r="AI123" s="36"/>
      <c r="AJ123" s="36"/>
      <c r="AK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7"/>
      <c r="Z124" s="36"/>
      <c r="AA124" s="37"/>
      <c r="AB124" s="37"/>
      <c r="AC124" s="37"/>
      <c r="AD124" s="36"/>
      <c r="AE124" s="36"/>
      <c r="AF124" s="36"/>
      <c r="AG124" s="36"/>
      <c r="AH124" s="36"/>
      <c r="AI124" s="36"/>
      <c r="AJ124" s="36"/>
      <c r="AK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7"/>
      <c r="Z125" s="36"/>
      <c r="AA125" s="37"/>
      <c r="AB125" s="37"/>
      <c r="AC125" s="37"/>
      <c r="AD125" s="36"/>
      <c r="AE125" s="36"/>
      <c r="AF125" s="36"/>
      <c r="AG125" s="36"/>
      <c r="AH125" s="36"/>
      <c r="AI125" s="36"/>
      <c r="AJ125" s="36"/>
      <c r="AK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7"/>
      <c r="Z126" s="36"/>
      <c r="AA126" s="37"/>
      <c r="AB126" s="37"/>
      <c r="AC126" s="37"/>
      <c r="AD126" s="36"/>
      <c r="AE126" s="36"/>
      <c r="AF126" s="36"/>
      <c r="AG126" s="36"/>
      <c r="AH126" s="36"/>
      <c r="AI126" s="36"/>
      <c r="AJ126" s="36"/>
      <c r="AK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7"/>
      <c r="Z127" s="36"/>
      <c r="AA127" s="37"/>
      <c r="AB127" s="37"/>
      <c r="AC127" s="37"/>
      <c r="AD127" s="36"/>
      <c r="AE127" s="36"/>
      <c r="AF127" s="36"/>
      <c r="AG127" s="36"/>
      <c r="AH127" s="36"/>
      <c r="AI127" s="36"/>
      <c r="AJ127" s="36"/>
      <c r="AK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7"/>
      <c r="Z128" s="36"/>
      <c r="AA128" s="37"/>
      <c r="AB128" s="37"/>
      <c r="AC128" s="37"/>
      <c r="AD128" s="36"/>
      <c r="AE128" s="36"/>
      <c r="AF128" s="36"/>
      <c r="AG128" s="36"/>
      <c r="AH128" s="36"/>
      <c r="AI128" s="36"/>
      <c r="AJ128" s="36"/>
      <c r="AK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7"/>
      <c r="Z129" s="36"/>
      <c r="AA129" s="37"/>
      <c r="AB129" s="37"/>
      <c r="AC129" s="37"/>
      <c r="AD129" s="36"/>
      <c r="AE129" s="36"/>
      <c r="AF129" s="36"/>
      <c r="AG129" s="36"/>
      <c r="AH129" s="36"/>
      <c r="AI129" s="36"/>
      <c r="AJ129" s="36"/>
      <c r="AK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7"/>
      <c r="Z130" s="36"/>
      <c r="AA130" s="37"/>
      <c r="AB130" s="37"/>
      <c r="AC130" s="37"/>
      <c r="AD130" s="36"/>
      <c r="AE130" s="36"/>
      <c r="AF130" s="36"/>
      <c r="AG130" s="36"/>
      <c r="AH130" s="36"/>
      <c r="AI130" s="36"/>
      <c r="AJ130" s="36"/>
      <c r="AK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7"/>
      <c r="Z131" s="36"/>
      <c r="AA131" s="37"/>
      <c r="AB131" s="37"/>
      <c r="AC131" s="37"/>
      <c r="AD131" s="36"/>
      <c r="AE131" s="36"/>
      <c r="AF131" s="36"/>
      <c r="AG131" s="36"/>
      <c r="AH131" s="36"/>
      <c r="AI131" s="36"/>
      <c r="AJ131" s="36"/>
      <c r="AK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7"/>
      <c r="Z132" s="36"/>
      <c r="AA132" s="37"/>
      <c r="AB132" s="37"/>
      <c r="AC132" s="37"/>
      <c r="AD132" s="36"/>
      <c r="AE132" s="36"/>
      <c r="AF132" s="36"/>
      <c r="AG132" s="36"/>
      <c r="AH132" s="36"/>
      <c r="AI132" s="36"/>
      <c r="AJ132" s="36"/>
      <c r="AK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7"/>
      <c r="Z133" s="36"/>
      <c r="AA133" s="37"/>
      <c r="AB133" s="37"/>
      <c r="AC133" s="37"/>
      <c r="AD133" s="36"/>
      <c r="AE133" s="36"/>
      <c r="AF133" s="36"/>
      <c r="AG133" s="36"/>
      <c r="AH133" s="36"/>
      <c r="AI133" s="36"/>
      <c r="AJ133" s="36"/>
      <c r="AK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7"/>
      <c r="Z134" s="36"/>
      <c r="AA134" s="37"/>
      <c r="AB134" s="37"/>
      <c r="AC134" s="37"/>
      <c r="AD134" s="36"/>
      <c r="AE134" s="36"/>
      <c r="AF134" s="36"/>
      <c r="AG134" s="36"/>
      <c r="AH134" s="36"/>
      <c r="AI134" s="36"/>
      <c r="AJ134" s="36"/>
      <c r="AK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7"/>
      <c r="Z135" s="36"/>
      <c r="AA135" s="37"/>
      <c r="AB135" s="37"/>
      <c r="AC135" s="37"/>
      <c r="AD135" s="36"/>
      <c r="AE135" s="36"/>
      <c r="AF135" s="36"/>
      <c r="AG135" s="36"/>
      <c r="AH135" s="36"/>
      <c r="AI135" s="36"/>
      <c r="AJ135" s="36"/>
      <c r="AK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7"/>
      <c r="Z136" s="36"/>
      <c r="AA136" s="37"/>
      <c r="AB136" s="37"/>
      <c r="AC136" s="37"/>
      <c r="AD136" s="36"/>
      <c r="AE136" s="36"/>
      <c r="AF136" s="36"/>
      <c r="AG136" s="36"/>
      <c r="AH136" s="36"/>
      <c r="AI136" s="36"/>
      <c r="AJ136" s="36"/>
      <c r="AK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7"/>
      <c r="Z137" s="36"/>
      <c r="AA137" s="37"/>
      <c r="AB137" s="37"/>
      <c r="AC137" s="37"/>
      <c r="AD137" s="36"/>
      <c r="AE137" s="36"/>
      <c r="AF137" s="36"/>
      <c r="AG137" s="36"/>
      <c r="AH137" s="36"/>
      <c r="AI137" s="36"/>
      <c r="AJ137" s="36"/>
      <c r="AK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7"/>
      <c r="Z138" s="36"/>
      <c r="AA138" s="37"/>
      <c r="AB138" s="37"/>
      <c r="AC138" s="37"/>
      <c r="AD138" s="36"/>
      <c r="AE138" s="36"/>
      <c r="AF138" s="36"/>
      <c r="AG138" s="36"/>
      <c r="AH138" s="36"/>
      <c r="AI138" s="36"/>
      <c r="AJ138" s="36"/>
      <c r="AK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7"/>
      <c r="Z139" s="36"/>
      <c r="AA139" s="37"/>
      <c r="AB139" s="37"/>
      <c r="AC139" s="37"/>
      <c r="AD139" s="36"/>
      <c r="AE139" s="36"/>
      <c r="AF139" s="36"/>
      <c r="AG139" s="36"/>
      <c r="AH139" s="36"/>
      <c r="AI139" s="36"/>
      <c r="AJ139" s="36"/>
      <c r="AK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7"/>
      <c r="Z140" s="36"/>
      <c r="AA140" s="37"/>
      <c r="AB140" s="37"/>
      <c r="AC140" s="37"/>
      <c r="AD140" s="36"/>
      <c r="AE140" s="36"/>
      <c r="AF140" s="36"/>
      <c r="AG140" s="36"/>
      <c r="AH140" s="36"/>
      <c r="AI140" s="36"/>
      <c r="AJ140" s="36"/>
      <c r="AK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7"/>
      <c r="Z141" s="36"/>
      <c r="AA141" s="37"/>
      <c r="AB141" s="37"/>
      <c r="AC141" s="37"/>
      <c r="AD141" s="36"/>
      <c r="AE141" s="36"/>
      <c r="AF141" s="36"/>
      <c r="AG141" s="36"/>
      <c r="AH141" s="36"/>
      <c r="AI141" s="36"/>
      <c r="AJ141" s="36"/>
      <c r="AK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7"/>
      <c r="Z142" s="36"/>
      <c r="AA142" s="37"/>
      <c r="AB142" s="37"/>
      <c r="AC142" s="37"/>
      <c r="AD142" s="36"/>
      <c r="AE142" s="36"/>
      <c r="AF142" s="36"/>
      <c r="AG142" s="36"/>
      <c r="AH142" s="36"/>
      <c r="AI142" s="36"/>
      <c r="AJ142" s="36"/>
      <c r="AK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7"/>
      <c r="Z143" s="36"/>
      <c r="AA143" s="37"/>
      <c r="AB143" s="37"/>
      <c r="AC143" s="37"/>
      <c r="AD143" s="36"/>
      <c r="AE143" s="36"/>
      <c r="AF143" s="36"/>
      <c r="AG143" s="36"/>
      <c r="AH143" s="36"/>
      <c r="AI143" s="36"/>
      <c r="AJ143" s="36"/>
      <c r="AK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7"/>
      <c r="Z144" s="36"/>
      <c r="AA144" s="37"/>
      <c r="AB144" s="37"/>
      <c r="AC144" s="37"/>
      <c r="AD144" s="36"/>
      <c r="AE144" s="36"/>
      <c r="AF144" s="36"/>
      <c r="AG144" s="36"/>
      <c r="AH144" s="36"/>
      <c r="AI144" s="36"/>
      <c r="AJ144" s="36"/>
      <c r="AK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7"/>
      <c r="Z145" s="36"/>
      <c r="AA145" s="37"/>
      <c r="AB145" s="37"/>
      <c r="AC145" s="37"/>
      <c r="AD145" s="36"/>
      <c r="AE145" s="36"/>
      <c r="AF145" s="36"/>
      <c r="AG145" s="36"/>
      <c r="AH145" s="36"/>
      <c r="AI145" s="36"/>
      <c r="AJ145" s="36"/>
      <c r="AK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7"/>
      <c r="Z146" s="36"/>
      <c r="AA146" s="37"/>
      <c r="AB146" s="37"/>
      <c r="AC146" s="37"/>
      <c r="AD146" s="36"/>
      <c r="AE146" s="36"/>
      <c r="AF146" s="36"/>
      <c r="AG146" s="36"/>
      <c r="AH146" s="36"/>
      <c r="AI146" s="36"/>
      <c r="AJ146" s="36"/>
      <c r="AK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7"/>
      <c r="Z147" s="36"/>
      <c r="AA147" s="37"/>
      <c r="AB147" s="37"/>
      <c r="AC147" s="37"/>
      <c r="AD147" s="36"/>
      <c r="AE147" s="36"/>
      <c r="AF147" s="36"/>
      <c r="AG147" s="36"/>
      <c r="AH147" s="36"/>
      <c r="AI147" s="36"/>
      <c r="AJ147" s="36"/>
      <c r="AK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7"/>
      <c r="Z148" s="36"/>
      <c r="AA148" s="37"/>
      <c r="AB148" s="37"/>
      <c r="AC148" s="37"/>
      <c r="AD148" s="36"/>
      <c r="AE148" s="36"/>
      <c r="AF148" s="36"/>
      <c r="AG148" s="36"/>
      <c r="AH148" s="36"/>
      <c r="AI148" s="36"/>
      <c r="AJ148" s="36"/>
      <c r="AK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7"/>
      <c r="Z149" s="36"/>
      <c r="AA149" s="37"/>
      <c r="AB149" s="37"/>
      <c r="AC149" s="37"/>
      <c r="AD149" s="36"/>
      <c r="AE149" s="36"/>
      <c r="AF149" s="36"/>
      <c r="AG149" s="36"/>
      <c r="AH149" s="36"/>
      <c r="AI149" s="36"/>
      <c r="AJ149" s="36"/>
      <c r="AK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7"/>
      <c r="Z150" s="36"/>
      <c r="AA150" s="37"/>
      <c r="AB150" s="37"/>
      <c r="AC150" s="37"/>
      <c r="AD150" s="36"/>
      <c r="AE150" s="36"/>
      <c r="AF150" s="36"/>
      <c r="AG150" s="36"/>
      <c r="AH150" s="36"/>
      <c r="AI150" s="36"/>
      <c r="AJ150" s="36"/>
      <c r="AK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7"/>
      <c r="Z151" s="36"/>
      <c r="AA151" s="37"/>
      <c r="AB151" s="37"/>
      <c r="AC151" s="37"/>
      <c r="AD151" s="36"/>
      <c r="AE151" s="36"/>
      <c r="AF151" s="36"/>
      <c r="AG151" s="36"/>
      <c r="AH151" s="36"/>
      <c r="AI151" s="36"/>
      <c r="AJ151" s="36"/>
      <c r="AK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7"/>
      <c r="Z152" s="36"/>
      <c r="AA152" s="37"/>
      <c r="AB152" s="37"/>
      <c r="AC152" s="37"/>
      <c r="AD152" s="36"/>
      <c r="AE152" s="36"/>
      <c r="AF152" s="36"/>
      <c r="AG152" s="36"/>
      <c r="AH152" s="36"/>
      <c r="AI152" s="36"/>
      <c r="AJ152" s="36"/>
      <c r="AK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7"/>
      <c r="Z153" s="36"/>
      <c r="AA153" s="37"/>
      <c r="AB153" s="37"/>
      <c r="AC153" s="37"/>
      <c r="AD153" s="36"/>
      <c r="AE153" s="36"/>
      <c r="AF153" s="36"/>
      <c r="AG153" s="36"/>
      <c r="AH153" s="36"/>
      <c r="AI153" s="36"/>
      <c r="AJ153" s="36"/>
      <c r="AK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7"/>
      <c r="Z154" s="36"/>
      <c r="AA154" s="37"/>
      <c r="AB154" s="37"/>
      <c r="AC154" s="37"/>
      <c r="AD154" s="36"/>
      <c r="AE154" s="36"/>
      <c r="AF154" s="36"/>
      <c r="AG154" s="36"/>
      <c r="AH154" s="36"/>
      <c r="AI154" s="36"/>
      <c r="AJ154" s="36"/>
      <c r="AK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7"/>
      <c r="Z155" s="36"/>
      <c r="AA155" s="37"/>
      <c r="AB155" s="37"/>
      <c r="AC155" s="37"/>
      <c r="AD155" s="36"/>
      <c r="AE155" s="36"/>
      <c r="AF155" s="36"/>
      <c r="AG155" s="36"/>
      <c r="AH155" s="36"/>
      <c r="AI155" s="36"/>
      <c r="AJ155" s="36"/>
      <c r="AK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7"/>
      <c r="Z156" s="36"/>
      <c r="AA156" s="37"/>
      <c r="AB156" s="37"/>
      <c r="AC156" s="37"/>
      <c r="AD156" s="36"/>
      <c r="AE156" s="36"/>
      <c r="AF156" s="36"/>
      <c r="AG156" s="36"/>
      <c r="AH156" s="36"/>
      <c r="AI156" s="36"/>
      <c r="AJ156" s="36"/>
      <c r="AK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7"/>
      <c r="Z157" s="36"/>
      <c r="AA157" s="37"/>
      <c r="AB157" s="37"/>
      <c r="AC157" s="37"/>
      <c r="AD157" s="36"/>
      <c r="AE157" s="36"/>
      <c r="AF157" s="36"/>
      <c r="AG157" s="36"/>
      <c r="AH157" s="36"/>
      <c r="AI157" s="36"/>
      <c r="AJ157" s="36"/>
      <c r="AK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7"/>
      <c r="Z158" s="36"/>
      <c r="AA158" s="37"/>
      <c r="AB158" s="37"/>
      <c r="AC158" s="37"/>
      <c r="AD158" s="36"/>
      <c r="AE158" s="36"/>
      <c r="AF158" s="36"/>
      <c r="AG158" s="36"/>
      <c r="AH158" s="36"/>
      <c r="AI158" s="36"/>
      <c r="AJ158" s="36"/>
      <c r="AK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7"/>
      <c r="Z159" s="36"/>
      <c r="AA159" s="37"/>
      <c r="AB159" s="37"/>
      <c r="AC159" s="37"/>
      <c r="AD159" s="36"/>
      <c r="AE159" s="36"/>
      <c r="AF159" s="36"/>
      <c r="AG159" s="36"/>
      <c r="AH159" s="36"/>
      <c r="AI159" s="36"/>
      <c r="AJ159" s="36"/>
      <c r="AK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7"/>
      <c r="Z160" s="36"/>
      <c r="AA160" s="37"/>
      <c r="AB160" s="37"/>
      <c r="AC160" s="37"/>
      <c r="AD160" s="36"/>
      <c r="AE160" s="36"/>
      <c r="AF160" s="36"/>
      <c r="AG160" s="36"/>
      <c r="AH160" s="36"/>
      <c r="AI160" s="36"/>
      <c r="AJ160" s="36"/>
      <c r="AK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7"/>
      <c r="Z161" s="36"/>
      <c r="AA161" s="37"/>
      <c r="AB161" s="37"/>
      <c r="AC161" s="37"/>
      <c r="AD161" s="36"/>
      <c r="AE161" s="36"/>
      <c r="AF161" s="36"/>
      <c r="AG161" s="36"/>
      <c r="AH161" s="36"/>
      <c r="AI161" s="36"/>
      <c r="AJ161" s="36"/>
      <c r="AK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7"/>
      <c r="Z162" s="36"/>
      <c r="AA162" s="37"/>
      <c r="AB162" s="37"/>
      <c r="AC162" s="37"/>
      <c r="AD162" s="36"/>
      <c r="AE162" s="36"/>
      <c r="AF162" s="36"/>
      <c r="AG162" s="36"/>
      <c r="AH162" s="36"/>
      <c r="AI162" s="36"/>
      <c r="AJ162" s="36"/>
      <c r="AK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7"/>
      <c r="Z163" s="36"/>
      <c r="AA163" s="37"/>
      <c r="AB163" s="37"/>
      <c r="AC163" s="37"/>
      <c r="AD163" s="36"/>
      <c r="AE163" s="36"/>
      <c r="AF163" s="36"/>
      <c r="AG163" s="36"/>
      <c r="AH163" s="36"/>
      <c r="AI163" s="36"/>
      <c r="AJ163" s="36"/>
      <c r="AK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7"/>
      <c r="Z164" s="36"/>
      <c r="AA164" s="37"/>
      <c r="AB164" s="37"/>
      <c r="AC164" s="37"/>
      <c r="AD164" s="36"/>
      <c r="AE164" s="36"/>
      <c r="AF164" s="36"/>
      <c r="AG164" s="36"/>
      <c r="AH164" s="36"/>
      <c r="AI164" s="36"/>
      <c r="AJ164" s="36"/>
      <c r="AK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7"/>
      <c r="Z165" s="36"/>
      <c r="AA165" s="37"/>
      <c r="AB165" s="37"/>
      <c r="AC165" s="37"/>
      <c r="AD165" s="36"/>
      <c r="AE165" s="36"/>
      <c r="AF165" s="36"/>
      <c r="AG165" s="36"/>
      <c r="AH165" s="36"/>
      <c r="AI165" s="36"/>
      <c r="AJ165" s="36"/>
      <c r="AK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7"/>
      <c r="Z166" s="36"/>
      <c r="AA166" s="37"/>
      <c r="AB166" s="37"/>
      <c r="AC166" s="37"/>
      <c r="AD166" s="36"/>
      <c r="AE166" s="36"/>
      <c r="AF166" s="36"/>
      <c r="AG166" s="36"/>
      <c r="AH166" s="36"/>
      <c r="AI166" s="36"/>
      <c r="AJ166" s="36"/>
      <c r="AK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7"/>
      <c r="Z167" s="36"/>
      <c r="AA167" s="37"/>
      <c r="AB167" s="37"/>
      <c r="AC167" s="37"/>
      <c r="AD167" s="36"/>
      <c r="AE167" s="36"/>
      <c r="AF167" s="36"/>
      <c r="AG167" s="36"/>
      <c r="AH167" s="36"/>
      <c r="AI167" s="36"/>
      <c r="AJ167" s="36"/>
      <c r="AK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7"/>
      <c r="Z168" s="36"/>
      <c r="AA168" s="37"/>
      <c r="AB168" s="37"/>
      <c r="AC168" s="37"/>
      <c r="AD168" s="36"/>
      <c r="AE168" s="36"/>
      <c r="AF168" s="36"/>
      <c r="AG168" s="36"/>
      <c r="AH168" s="36"/>
      <c r="AI168" s="36"/>
      <c r="AJ168" s="36"/>
      <c r="AK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7"/>
      <c r="Z169" s="36"/>
      <c r="AA169" s="37"/>
      <c r="AB169" s="37"/>
      <c r="AC169" s="37"/>
      <c r="AD169" s="36"/>
      <c r="AE169" s="36"/>
      <c r="AF169" s="36"/>
      <c r="AG169" s="36"/>
      <c r="AH169" s="36"/>
      <c r="AI169" s="36"/>
      <c r="AJ169" s="36"/>
      <c r="AK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7"/>
      <c r="Z170" s="36"/>
      <c r="AA170" s="37"/>
      <c r="AB170" s="37"/>
      <c r="AC170" s="37"/>
      <c r="AD170" s="36"/>
      <c r="AE170" s="36"/>
      <c r="AF170" s="36"/>
      <c r="AG170" s="36"/>
      <c r="AH170" s="36"/>
      <c r="AI170" s="36"/>
      <c r="AJ170" s="36"/>
      <c r="AK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7"/>
      <c r="Z171" s="36"/>
      <c r="AA171" s="37"/>
      <c r="AB171" s="37"/>
      <c r="AC171" s="37"/>
      <c r="AD171" s="36"/>
      <c r="AE171" s="36"/>
      <c r="AF171" s="36"/>
      <c r="AG171" s="36"/>
      <c r="AH171" s="36"/>
      <c r="AI171" s="36"/>
      <c r="AJ171" s="36"/>
      <c r="AK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7"/>
      <c r="Z172" s="36"/>
      <c r="AA172" s="37"/>
      <c r="AB172" s="37"/>
      <c r="AC172" s="37"/>
      <c r="AD172" s="36"/>
      <c r="AE172" s="36"/>
      <c r="AF172" s="36"/>
      <c r="AG172" s="36"/>
      <c r="AH172" s="36"/>
      <c r="AI172" s="36"/>
      <c r="AJ172" s="36"/>
      <c r="AK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7"/>
      <c r="Z173" s="36"/>
      <c r="AA173" s="37"/>
      <c r="AB173" s="37"/>
      <c r="AC173" s="37"/>
      <c r="AD173" s="36"/>
      <c r="AE173" s="36"/>
      <c r="AF173" s="36"/>
      <c r="AG173" s="36"/>
      <c r="AH173" s="36"/>
      <c r="AI173" s="36"/>
      <c r="AJ173" s="36"/>
      <c r="AK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7"/>
      <c r="Z174" s="36"/>
      <c r="AA174" s="37"/>
      <c r="AB174" s="37"/>
      <c r="AC174" s="37"/>
      <c r="AD174" s="36"/>
      <c r="AE174" s="36"/>
      <c r="AF174" s="36"/>
      <c r="AG174" s="36"/>
      <c r="AH174" s="36"/>
      <c r="AI174" s="36"/>
      <c r="AJ174" s="36"/>
      <c r="AK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7"/>
      <c r="Z175" s="36"/>
      <c r="AA175" s="37"/>
      <c r="AB175" s="37"/>
      <c r="AC175" s="37"/>
      <c r="AD175" s="36"/>
      <c r="AE175" s="36"/>
      <c r="AF175" s="36"/>
      <c r="AG175" s="36"/>
      <c r="AH175" s="36"/>
      <c r="AI175" s="36"/>
      <c r="AJ175" s="36"/>
      <c r="AK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7"/>
      <c r="Z176" s="36"/>
      <c r="AA176" s="37"/>
      <c r="AB176" s="37"/>
      <c r="AC176" s="37"/>
      <c r="AD176" s="36"/>
      <c r="AE176" s="36"/>
      <c r="AF176" s="36"/>
      <c r="AG176" s="36"/>
      <c r="AH176" s="36"/>
      <c r="AI176" s="36"/>
      <c r="AJ176" s="36"/>
      <c r="AK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7"/>
      <c r="Z177" s="36"/>
      <c r="AA177" s="37"/>
      <c r="AB177" s="37"/>
      <c r="AC177" s="37"/>
      <c r="AD177" s="36"/>
      <c r="AE177" s="36"/>
      <c r="AF177" s="36"/>
      <c r="AG177" s="36"/>
      <c r="AH177" s="36"/>
      <c r="AI177" s="36"/>
      <c r="AJ177" s="36"/>
      <c r="AK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7"/>
      <c r="Z178" s="36"/>
      <c r="AA178" s="37"/>
      <c r="AB178" s="37"/>
      <c r="AC178" s="37"/>
      <c r="AD178" s="36"/>
      <c r="AE178" s="36"/>
      <c r="AF178" s="36"/>
      <c r="AG178" s="36"/>
      <c r="AH178" s="36"/>
      <c r="AI178" s="36"/>
      <c r="AJ178" s="36"/>
      <c r="AK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7"/>
      <c r="Z179" s="36"/>
      <c r="AA179" s="37"/>
      <c r="AB179" s="37"/>
      <c r="AC179" s="37"/>
      <c r="AD179" s="36"/>
      <c r="AE179" s="36"/>
      <c r="AF179" s="36"/>
      <c r="AG179" s="36"/>
      <c r="AH179" s="36"/>
      <c r="AI179" s="36"/>
      <c r="AJ179" s="36"/>
      <c r="AK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7"/>
      <c r="Z180" s="36"/>
      <c r="AA180" s="37"/>
      <c r="AB180" s="37"/>
      <c r="AC180" s="37"/>
      <c r="AD180" s="36"/>
      <c r="AE180" s="36"/>
      <c r="AF180" s="36"/>
      <c r="AG180" s="36"/>
      <c r="AH180" s="36"/>
      <c r="AI180" s="36"/>
      <c r="AJ180" s="36"/>
      <c r="AK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7"/>
      <c r="Z181" s="36"/>
      <c r="AA181" s="37"/>
      <c r="AB181" s="37"/>
      <c r="AC181" s="37"/>
      <c r="AD181" s="36"/>
      <c r="AE181" s="36"/>
      <c r="AF181" s="36"/>
      <c r="AG181" s="36"/>
      <c r="AH181" s="36"/>
      <c r="AI181" s="36"/>
      <c r="AJ181" s="36"/>
      <c r="AK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7"/>
      <c r="Z182" s="36"/>
      <c r="AA182" s="37"/>
      <c r="AB182" s="37"/>
      <c r="AC182" s="37"/>
      <c r="AD182" s="36"/>
      <c r="AE182" s="36"/>
      <c r="AF182" s="36"/>
      <c r="AG182" s="36"/>
      <c r="AH182" s="36"/>
      <c r="AI182" s="36"/>
      <c r="AJ182" s="36"/>
      <c r="AK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7"/>
      <c r="Z183" s="36"/>
      <c r="AA183" s="37"/>
      <c r="AB183" s="37"/>
      <c r="AC183" s="37"/>
      <c r="AD183" s="36"/>
      <c r="AE183" s="36"/>
      <c r="AF183" s="36"/>
      <c r="AG183" s="36"/>
      <c r="AH183" s="36"/>
      <c r="AI183" s="36"/>
      <c r="AJ183" s="36"/>
      <c r="AK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7"/>
      <c r="Z184" s="36"/>
      <c r="AA184" s="37"/>
      <c r="AB184" s="37"/>
      <c r="AC184" s="37"/>
      <c r="AD184" s="36"/>
      <c r="AE184" s="36"/>
      <c r="AF184" s="36"/>
      <c r="AG184" s="36"/>
      <c r="AH184" s="36"/>
      <c r="AI184" s="36"/>
      <c r="AJ184" s="36"/>
      <c r="AK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7"/>
      <c r="Z185" s="36"/>
      <c r="AA185" s="37"/>
      <c r="AB185" s="37"/>
      <c r="AC185" s="37"/>
      <c r="AD185" s="36"/>
      <c r="AE185" s="36"/>
      <c r="AF185" s="36"/>
      <c r="AG185" s="36"/>
      <c r="AH185" s="36"/>
      <c r="AI185" s="36"/>
      <c r="AJ185" s="36"/>
      <c r="AK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7"/>
      <c r="Z186" s="36"/>
      <c r="AA186" s="37"/>
      <c r="AB186" s="37"/>
      <c r="AC186" s="37"/>
      <c r="AD186" s="36"/>
      <c r="AE186" s="36"/>
      <c r="AF186" s="36"/>
      <c r="AG186" s="36"/>
      <c r="AH186" s="36"/>
      <c r="AI186" s="36"/>
      <c r="AJ186" s="36"/>
      <c r="AK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7"/>
      <c r="Z187" s="36"/>
      <c r="AA187" s="37"/>
      <c r="AB187" s="37"/>
      <c r="AC187" s="37"/>
      <c r="AD187" s="36"/>
      <c r="AE187" s="36"/>
      <c r="AF187" s="36"/>
      <c r="AG187" s="36"/>
      <c r="AH187" s="36"/>
      <c r="AI187" s="36"/>
      <c r="AJ187" s="36"/>
      <c r="AK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7"/>
      <c r="Z188" s="36"/>
      <c r="AA188" s="37"/>
      <c r="AB188" s="37"/>
      <c r="AC188" s="37"/>
      <c r="AD188" s="36"/>
      <c r="AE188" s="36"/>
      <c r="AF188" s="36"/>
      <c r="AG188" s="36"/>
      <c r="AH188" s="36"/>
      <c r="AI188" s="36"/>
      <c r="AJ188" s="36"/>
      <c r="AK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7"/>
      <c r="Z189" s="36"/>
      <c r="AA189" s="37"/>
      <c r="AB189" s="37"/>
      <c r="AC189" s="37"/>
      <c r="AD189" s="36"/>
      <c r="AE189" s="36"/>
      <c r="AF189" s="36"/>
      <c r="AG189" s="36"/>
      <c r="AH189" s="36"/>
      <c r="AI189" s="36"/>
      <c r="AJ189" s="36"/>
      <c r="AK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7"/>
      <c r="Z190" s="36"/>
      <c r="AA190" s="37"/>
      <c r="AB190" s="37"/>
      <c r="AC190" s="37"/>
      <c r="AD190" s="36"/>
      <c r="AE190" s="36"/>
      <c r="AF190" s="36"/>
      <c r="AG190" s="36"/>
      <c r="AH190" s="36"/>
      <c r="AI190" s="36"/>
      <c r="AJ190" s="36"/>
      <c r="AK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7"/>
      <c r="Z191" s="36"/>
      <c r="AA191" s="37"/>
      <c r="AB191" s="37"/>
      <c r="AC191" s="37"/>
      <c r="AD191" s="36"/>
      <c r="AE191" s="36"/>
      <c r="AF191" s="36"/>
      <c r="AG191" s="36"/>
      <c r="AH191" s="36"/>
      <c r="AI191" s="36"/>
      <c r="AJ191" s="36"/>
      <c r="AK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7"/>
      <c r="Z192" s="36"/>
      <c r="AA192" s="37"/>
      <c r="AB192" s="37"/>
      <c r="AC192" s="37"/>
      <c r="AD192" s="36"/>
      <c r="AE192" s="36"/>
      <c r="AF192" s="36"/>
      <c r="AG192" s="36"/>
      <c r="AH192" s="36"/>
      <c r="AI192" s="36"/>
      <c r="AJ192" s="36"/>
      <c r="AK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7"/>
      <c r="Z193" s="36"/>
      <c r="AA193" s="37"/>
      <c r="AB193" s="37"/>
      <c r="AC193" s="37"/>
      <c r="AD193" s="36"/>
      <c r="AE193" s="36"/>
      <c r="AF193" s="36"/>
      <c r="AG193" s="36"/>
      <c r="AH193" s="36"/>
      <c r="AI193" s="36"/>
      <c r="AJ193" s="36"/>
      <c r="AK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7"/>
      <c r="Z194" s="36"/>
      <c r="AA194" s="37"/>
      <c r="AB194" s="37"/>
      <c r="AC194" s="37"/>
      <c r="AD194" s="36"/>
      <c r="AE194" s="36"/>
      <c r="AF194" s="36"/>
      <c r="AG194" s="36"/>
      <c r="AH194" s="36"/>
      <c r="AI194" s="36"/>
      <c r="AJ194" s="36"/>
      <c r="AK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7"/>
      <c r="Z195" s="36"/>
      <c r="AA195" s="37"/>
      <c r="AB195" s="37"/>
      <c r="AC195" s="37"/>
      <c r="AD195" s="36"/>
      <c r="AE195" s="36"/>
      <c r="AF195" s="36"/>
      <c r="AG195" s="36"/>
      <c r="AH195" s="36"/>
      <c r="AI195" s="36"/>
      <c r="AJ195" s="36"/>
      <c r="AK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7"/>
      <c r="Z196" s="36"/>
      <c r="AA196" s="37"/>
      <c r="AB196" s="37"/>
      <c r="AC196" s="37"/>
      <c r="AD196" s="36"/>
      <c r="AE196" s="36"/>
      <c r="AF196" s="36"/>
      <c r="AG196" s="36"/>
      <c r="AH196" s="36"/>
      <c r="AI196" s="36"/>
      <c r="AJ196" s="36"/>
      <c r="AK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7"/>
      <c r="Z197" s="36"/>
      <c r="AA197" s="37"/>
      <c r="AB197" s="37"/>
      <c r="AC197" s="37"/>
      <c r="AD197" s="36"/>
      <c r="AE197" s="36"/>
      <c r="AF197" s="36"/>
      <c r="AG197" s="36"/>
      <c r="AH197" s="36"/>
      <c r="AI197" s="36"/>
      <c r="AJ197" s="36"/>
      <c r="AK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7"/>
      <c r="Z198" s="36"/>
      <c r="AA198" s="37"/>
      <c r="AB198" s="37"/>
      <c r="AC198" s="37"/>
      <c r="AD198" s="36"/>
      <c r="AE198" s="36"/>
      <c r="AF198" s="36"/>
      <c r="AG198" s="36"/>
      <c r="AH198" s="36"/>
      <c r="AI198" s="36"/>
      <c r="AJ198" s="36"/>
      <c r="AK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7"/>
      <c r="Z199" s="36"/>
      <c r="AA199" s="37"/>
      <c r="AB199" s="37"/>
      <c r="AC199" s="37"/>
      <c r="AD199" s="36"/>
      <c r="AE199" s="36"/>
      <c r="AF199" s="36"/>
      <c r="AG199" s="36"/>
      <c r="AH199" s="36"/>
      <c r="AI199" s="36"/>
      <c r="AJ199" s="36"/>
      <c r="AK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7"/>
      <c r="Z200" s="36"/>
      <c r="AA200" s="37"/>
      <c r="AB200" s="37"/>
      <c r="AC200" s="37"/>
      <c r="AD200" s="36"/>
      <c r="AE200" s="36"/>
      <c r="AF200" s="36"/>
      <c r="AG200" s="36"/>
      <c r="AH200" s="36"/>
      <c r="AI200" s="36"/>
      <c r="AJ200" s="36"/>
      <c r="AK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7"/>
      <c r="Z201" s="36"/>
      <c r="AA201" s="37"/>
      <c r="AB201" s="37"/>
      <c r="AC201" s="37"/>
      <c r="AD201" s="36"/>
      <c r="AE201" s="36"/>
      <c r="AF201" s="36"/>
      <c r="AG201" s="36"/>
      <c r="AH201" s="36"/>
      <c r="AI201" s="36"/>
      <c r="AJ201" s="36"/>
      <c r="AK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7"/>
      <c r="Z202" s="36"/>
      <c r="AA202" s="37"/>
      <c r="AB202" s="37"/>
      <c r="AC202" s="37"/>
      <c r="AD202" s="36"/>
      <c r="AE202" s="36"/>
      <c r="AF202" s="36"/>
      <c r="AG202" s="36"/>
      <c r="AH202" s="36"/>
      <c r="AI202" s="36"/>
      <c r="AJ202" s="36"/>
      <c r="AK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7"/>
      <c r="Z203" s="36"/>
      <c r="AA203" s="37"/>
      <c r="AB203" s="37"/>
      <c r="AC203" s="37"/>
      <c r="AD203" s="36"/>
      <c r="AE203" s="36"/>
      <c r="AF203" s="36"/>
      <c r="AG203" s="36"/>
      <c r="AH203" s="36"/>
      <c r="AI203" s="36"/>
      <c r="AJ203" s="36"/>
      <c r="AK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7"/>
      <c r="Z204" s="36"/>
      <c r="AA204" s="37"/>
      <c r="AB204" s="37"/>
      <c r="AC204" s="37"/>
      <c r="AD204" s="36"/>
      <c r="AE204" s="36"/>
      <c r="AF204" s="36"/>
      <c r="AG204" s="36"/>
      <c r="AH204" s="36"/>
      <c r="AI204" s="36"/>
      <c r="AJ204" s="36"/>
      <c r="AK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7"/>
      <c r="Z205" s="36"/>
      <c r="AA205" s="37"/>
      <c r="AB205" s="37"/>
      <c r="AC205" s="37"/>
      <c r="AD205" s="36"/>
      <c r="AE205" s="36"/>
      <c r="AF205" s="36"/>
      <c r="AG205" s="36"/>
      <c r="AH205" s="36"/>
      <c r="AI205" s="36"/>
      <c r="AJ205" s="36"/>
      <c r="AK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7"/>
      <c r="Z206" s="36"/>
      <c r="AA206" s="37"/>
      <c r="AB206" s="37"/>
      <c r="AC206" s="37"/>
      <c r="AD206" s="36"/>
      <c r="AE206" s="36"/>
      <c r="AF206" s="36"/>
      <c r="AG206" s="36"/>
      <c r="AH206" s="36"/>
      <c r="AI206" s="36"/>
      <c r="AJ206" s="36"/>
      <c r="AK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7"/>
      <c r="Z207" s="36"/>
      <c r="AA207" s="37"/>
      <c r="AB207" s="37"/>
      <c r="AC207" s="37"/>
      <c r="AD207" s="36"/>
      <c r="AE207" s="36"/>
      <c r="AF207" s="36"/>
      <c r="AG207" s="36"/>
      <c r="AH207" s="36"/>
      <c r="AI207" s="36"/>
      <c r="AJ207" s="36"/>
      <c r="AK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7"/>
      <c r="Z208" s="36"/>
      <c r="AA208" s="37"/>
      <c r="AB208" s="37"/>
      <c r="AC208" s="37"/>
      <c r="AD208" s="36"/>
      <c r="AE208" s="36"/>
      <c r="AF208" s="36"/>
      <c r="AG208" s="36"/>
      <c r="AH208" s="36"/>
      <c r="AI208" s="36"/>
      <c r="AJ208" s="36"/>
      <c r="AK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7"/>
      <c r="Z209" s="36"/>
      <c r="AA209" s="37"/>
      <c r="AB209" s="37"/>
      <c r="AC209" s="37"/>
      <c r="AD209" s="36"/>
      <c r="AE209" s="36"/>
      <c r="AF209" s="36"/>
      <c r="AG209" s="36"/>
      <c r="AH209" s="36"/>
      <c r="AI209" s="36"/>
      <c r="AJ209" s="36"/>
      <c r="AK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7"/>
      <c r="Z210" s="36"/>
      <c r="AA210" s="37"/>
      <c r="AB210" s="37"/>
      <c r="AC210" s="37"/>
      <c r="AD210" s="36"/>
      <c r="AE210" s="36"/>
      <c r="AF210" s="36"/>
      <c r="AG210" s="36"/>
      <c r="AH210" s="36"/>
      <c r="AI210" s="36"/>
      <c r="AJ210" s="36"/>
      <c r="AK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7"/>
      <c r="Z211" s="36"/>
      <c r="AA211" s="37"/>
      <c r="AB211" s="37"/>
      <c r="AC211" s="37"/>
      <c r="AD211" s="36"/>
      <c r="AE211" s="36"/>
      <c r="AF211" s="36"/>
      <c r="AG211" s="36"/>
      <c r="AH211" s="36"/>
      <c r="AI211" s="36"/>
      <c r="AJ211" s="36"/>
      <c r="AK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7"/>
      <c r="Z212" s="36"/>
      <c r="AA212" s="37"/>
      <c r="AB212" s="37"/>
      <c r="AC212" s="37"/>
      <c r="AD212" s="36"/>
      <c r="AE212" s="36"/>
      <c r="AF212" s="36"/>
      <c r="AG212" s="36"/>
      <c r="AH212" s="36"/>
      <c r="AI212" s="36"/>
      <c r="AJ212" s="36"/>
      <c r="AK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7"/>
      <c r="Z213" s="36"/>
      <c r="AA213" s="37"/>
      <c r="AB213" s="37"/>
      <c r="AC213" s="37"/>
      <c r="AD213" s="36"/>
      <c r="AE213" s="36"/>
      <c r="AF213" s="36"/>
      <c r="AG213" s="36"/>
      <c r="AH213" s="36"/>
      <c r="AI213" s="36"/>
      <c r="AJ213" s="36"/>
      <c r="AK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7"/>
      <c r="Z214" s="36"/>
      <c r="AA214" s="37"/>
      <c r="AB214" s="37"/>
      <c r="AC214" s="37"/>
      <c r="AD214" s="36"/>
      <c r="AE214" s="36"/>
      <c r="AF214" s="36"/>
      <c r="AG214" s="36"/>
      <c r="AH214" s="36"/>
      <c r="AI214" s="36"/>
      <c r="AJ214" s="36"/>
      <c r="AK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7"/>
      <c r="Z215" s="36"/>
      <c r="AA215" s="37"/>
      <c r="AB215" s="37"/>
      <c r="AC215" s="37"/>
      <c r="AD215" s="36"/>
      <c r="AE215" s="36"/>
      <c r="AF215" s="36"/>
      <c r="AG215" s="36"/>
      <c r="AH215" s="36"/>
      <c r="AI215" s="36"/>
      <c r="AJ215" s="36"/>
      <c r="AK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7"/>
      <c r="Z216" s="36"/>
      <c r="AA216" s="37"/>
      <c r="AB216" s="37"/>
      <c r="AC216" s="37"/>
      <c r="AD216" s="36"/>
      <c r="AE216" s="36"/>
      <c r="AF216" s="36"/>
      <c r="AG216" s="36"/>
      <c r="AH216" s="36"/>
      <c r="AI216" s="36"/>
      <c r="AJ216" s="36"/>
      <c r="AK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7"/>
      <c r="Z217" s="36"/>
      <c r="AA217" s="37"/>
      <c r="AB217" s="37"/>
      <c r="AC217" s="37"/>
      <c r="AD217" s="36"/>
      <c r="AE217" s="36"/>
      <c r="AF217" s="36"/>
      <c r="AG217" s="36"/>
      <c r="AH217" s="36"/>
      <c r="AI217" s="36"/>
      <c r="AJ217" s="36"/>
      <c r="AK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7"/>
      <c r="Z218" s="36"/>
      <c r="AA218" s="37"/>
      <c r="AB218" s="37"/>
      <c r="AC218" s="37"/>
      <c r="AD218" s="36"/>
      <c r="AE218" s="36"/>
      <c r="AF218" s="36"/>
      <c r="AG218" s="36"/>
      <c r="AH218" s="36"/>
      <c r="AI218" s="36"/>
      <c r="AJ218" s="36"/>
      <c r="AK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7"/>
      <c r="Z219" s="36"/>
      <c r="AA219" s="37"/>
      <c r="AB219" s="37"/>
      <c r="AC219" s="37"/>
      <c r="AD219" s="36"/>
      <c r="AE219" s="36"/>
      <c r="AF219" s="36"/>
      <c r="AG219" s="36"/>
      <c r="AH219" s="36"/>
      <c r="AI219" s="36"/>
      <c r="AJ219" s="36"/>
      <c r="AK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7"/>
      <c r="Z220" s="36"/>
      <c r="AA220" s="37"/>
      <c r="AB220" s="37"/>
      <c r="AC220" s="37"/>
      <c r="AD220" s="36"/>
      <c r="AE220" s="36"/>
      <c r="AF220" s="36"/>
      <c r="AG220" s="36"/>
      <c r="AH220" s="36"/>
      <c r="AI220" s="36"/>
      <c r="AJ220" s="36"/>
      <c r="AK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7"/>
      <c r="Z221" s="36"/>
      <c r="AA221" s="37"/>
      <c r="AB221" s="37"/>
      <c r="AC221" s="37"/>
      <c r="AD221" s="36"/>
      <c r="AE221" s="36"/>
      <c r="AF221" s="36"/>
      <c r="AG221" s="36"/>
      <c r="AH221" s="36"/>
      <c r="AI221" s="36"/>
      <c r="AJ221" s="36"/>
      <c r="AK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7"/>
      <c r="Z222" s="36"/>
      <c r="AA222" s="37"/>
      <c r="AB222" s="37"/>
      <c r="AC222" s="37"/>
      <c r="AD222" s="36"/>
      <c r="AE222" s="36"/>
      <c r="AF222" s="36"/>
      <c r="AG222" s="36"/>
      <c r="AH222" s="36"/>
      <c r="AI222" s="36"/>
      <c r="AJ222" s="36"/>
      <c r="AK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7"/>
      <c r="Z223" s="36"/>
      <c r="AA223" s="37"/>
      <c r="AB223" s="37"/>
      <c r="AC223" s="37"/>
      <c r="AD223" s="36"/>
      <c r="AE223" s="36"/>
      <c r="AF223" s="36"/>
      <c r="AG223" s="36"/>
      <c r="AH223" s="36"/>
      <c r="AI223" s="36"/>
      <c r="AJ223" s="36"/>
      <c r="AK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7"/>
      <c r="Z224" s="36"/>
      <c r="AA224" s="37"/>
      <c r="AB224" s="37"/>
      <c r="AC224" s="37"/>
      <c r="AD224" s="36"/>
      <c r="AE224" s="36"/>
      <c r="AF224" s="36"/>
      <c r="AG224" s="36"/>
      <c r="AH224" s="36"/>
      <c r="AI224" s="36"/>
      <c r="AJ224" s="36"/>
      <c r="AK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7"/>
      <c r="Z225" s="36"/>
      <c r="AA225" s="37"/>
      <c r="AB225" s="37"/>
      <c r="AC225" s="37"/>
      <c r="AD225" s="36"/>
      <c r="AE225" s="36"/>
      <c r="AF225" s="36"/>
      <c r="AG225" s="36"/>
      <c r="AH225" s="36"/>
      <c r="AI225" s="36"/>
      <c r="AJ225" s="36"/>
      <c r="AK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7"/>
      <c r="Z226" s="36"/>
      <c r="AA226" s="37"/>
      <c r="AB226" s="37"/>
      <c r="AC226" s="37"/>
      <c r="AD226" s="36"/>
      <c r="AE226" s="36"/>
      <c r="AF226" s="36"/>
      <c r="AG226" s="36"/>
      <c r="AH226" s="36"/>
      <c r="AI226" s="36"/>
      <c r="AJ226" s="36"/>
      <c r="AK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7"/>
      <c r="Z227" s="36"/>
      <c r="AA227" s="37"/>
      <c r="AB227" s="37"/>
      <c r="AC227" s="37"/>
      <c r="AD227" s="36"/>
      <c r="AE227" s="36"/>
      <c r="AF227" s="36"/>
      <c r="AG227" s="36"/>
      <c r="AH227" s="36"/>
      <c r="AI227" s="36"/>
      <c r="AJ227" s="36"/>
      <c r="AK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7"/>
      <c r="Z228" s="36"/>
      <c r="AA228" s="37"/>
      <c r="AB228" s="37"/>
      <c r="AC228" s="37"/>
      <c r="AD228" s="36"/>
      <c r="AE228" s="36"/>
      <c r="AF228" s="36"/>
      <c r="AG228" s="36"/>
      <c r="AH228" s="36"/>
      <c r="AI228" s="36"/>
      <c r="AJ228" s="36"/>
      <c r="AK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7"/>
      <c r="Z229" s="36"/>
      <c r="AA229" s="37"/>
      <c r="AB229" s="37"/>
      <c r="AC229" s="37"/>
      <c r="AD229" s="36"/>
      <c r="AE229" s="36"/>
      <c r="AF229" s="36"/>
      <c r="AG229" s="36"/>
      <c r="AH229" s="36"/>
      <c r="AI229" s="36"/>
      <c r="AJ229" s="36"/>
      <c r="AK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7"/>
      <c r="Z230" s="36"/>
      <c r="AA230" s="37"/>
      <c r="AB230" s="37"/>
      <c r="AC230" s="37"/>
      <c r="AD230" s="36"/>
      <c r="AE230" s="36"/>
      <c r="AF230" s="36"/>
      <c r="AG230" s="36"/>
      <c r="AH230" s="36"/>
      <c r="AI230" s="36"/>
      <c r="AJ230" s="36"/>
      <c r="AK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7"/>
      <c r="Z231" s="36"/>
      <c r="AA231" s="37"/>
      <c r="AB231" s="37"/>
      <c r="AC231" s="37"/>
      <c r="AD231" s="36"/>
      <c r="AE231" s="36"/>
      <c r="AF231" s="36"/>
      <c r="AG231" s="36"/>
      <c r="AH231" s="36"/>
      <c r="AI231" s="36"/>
      <c r="AJ231" s="36"/>
      <c r="AK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7"/>
      <c r="Z232" s="36"/>
      <c r="AA232" s="37"/>
      <c r="AB232" s="37"/>
      <c r="AC232" s="37"/>
      <c r="AD232" s="36"/>
      <c r="AE232" s="36"/>
      <c r="AF232" s="36"/>
      <c r="AG232" s="36"/>
      <c r="AH232" s="36"/>
      <c r="AI232" s="36"/>
      <c r="AJ232" s="36"/>
      <c r="AK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7"/>
      <c r="Z233" s="36"/>
      <c r="AA233" s="37"/>
      <c r="AB233" s="37"/>
      <c r="AC233" s="37"/>
      <c r="AD233" s="36"/>
      <c r="AE233" s="36"/>
      <c r="AF233" s="36"/>
      <c r="AG233" s="36"/>
      <c r="AH233" s="36"/>
      <c r="AI233" s="36"/>
      <c r="AJ233" s="36"/>
      <c r="AK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7"/>
      <c r="Z234" s="36"/>
      <c r="AA234" s="37"/>
      <c r="AB234" s="37"/>
      <c r="AC234" s="37"/>
      <c r="AD234" s="36"/>
      <c r="AE234" s="36"/>
      <c r="AF234" s="36"/>
      <c r="AG234" s="36"/>
      <c r="AH234" s="36"/>
      <c r="AI234" s="36"/>
      <c r="AJ234" s="36"/>
      <c r="AK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7"/>
      <c r="Z235" s="36"/>
      <c r="AA235" s="37"/>
      <c r="AB235" s="37"/>
      <c r="AC235" s="37"/>
      <c r="AD235" s="36"/>
      <c r="AE235" s="36"/>
      <c r="AF235" s="36"/>
      <c r="AG235" s="36"/>
      <c r="AH235" s="36"/>
      <c r="AI235" s="36"/>
      <c r="AJ235" s="36"/>
      <c r="AK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7"/>
      <c r="Z236" s="36"/>
      <c r="AA236" s="37"/>
      <c r="AB236" s="37"/>
      <c r="AC236" s="37"/>
      <c r="AD236" s="36"/>
      <c r="AE236" s="36"/>
      <c r="AF236" s="36"/>
      <c r="AG236" s="36"/>
      <c r="AH236" s="36"/>
      <c r="AI236" s="36"/>
      <c r="AJ236" s="36"/>
      <c r="AK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7"/>
      <c r="Z237" s="36"/>
      <c r="AA237" s="37"/>
      <c r="AB237" s="37"/>
      <c r="AC237" s="37"/>
      <c r="AD237" s="36"/>
      <c r="AE237" s="36"/>
      <c r="AF237" s="36"/>
      <c r="AG237" s="36"/>
      <c r="AH237" s="36"/>
      <c r="AI237" s="36"/>
      <c r="AJ237" s="36"/>
      <c r="AK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7"/>
      <c r="Z238" s="36"/>
      <c r="AA238" s="37"/>
      <c r="AB238" s="37"/>
      <c r="AC238" s="37"/>
      <c r="AD238" s="36"/>
      <c r="AE238" s="36"/>
      <c r="AF238" s="36"/>
      <c r="AG238" s="36"/>
      <c r="AH238" s="36"/>
      <c r="AI238" s="36"/>
      <c r="AJ238" s="36"/>
      <c r="AK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7"/>
      <c r="Z239" s="36"/>
      <c r="AA239" s="37"/>
      <c r="AB239" s="37"/>
      <c r="AC239" s="37"/>
      <c r="AD239" s="36"/>
      <c r="AE239" s="36"/>
      <c r="AF239" s="36"/>
      <c r="AG239" s="36"/>
      <c r="AH239" s="36"/>
      <c r="AI239" s="36"/>
      <c r="AJ239" s="36"/>
      <c r="AK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7"/>
      <c r="Z240" s="36"/>
      <c r="AA240" s="37"/>
      <c r="AB240" s="37"/>
      <c r="AC240" s="37"/>
      <c r="AD240" s="36"/>
      <c r="AE240" s="36"/>
      <c r="AF240" s="36"/>
      <c r="AG240" s="36"/>
      <c r="AH240" s="36"/>
      <c r="AI240" s="36"/>
      <c r="AJ240" s="36"/>
      <c r="AK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7"/>
      <c r="Z241" s="36"/>
      <c r="AA241" s="37"/>
      <c r="AB241" s="37"/>
      <c r="AC241" s="37"/>
      <c r="AD241" s="36"/>
      <c r="AE241" s="36"/>
      <c r="AF241" s="36"/>
      <c r="AG241" s="36"/>
      <c r="AH241" s="36"/>
      <c r="AI241" s="36"/>
      <c r="AJ241" s="36"/>
      <c r="AK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7"/>
      <c r="Z242" s="36"/>
      <c r="AA242" s="37"/>
      <c r="AB242" s="37"/>
      <c r="AC242" s="37"/>
      <c r="AD242" s="36"/>
      <c r="AE242" s="36"/>
      <c r="AF242" s="36"/>
      <c r="AG242" s="36"/>
      <c r="AH242" s="36"/>
      <c r="AI242" s="36"/>
      <c r="AJ242" s="36"/>
      <c r="AK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7"/>
      <c r="Z243" s="36"/>
      <c r="AA243" s="37"/>
      <c r="AB243" s="37"/>
      <c r="AC243" s="37"/>
      <c r="AD243" s="36"/>
      <c r="AE243" s="36"/>
      <c r="AF243" s="36"/>
      <c r="AG243" s="36"/>
      <c r="AH243" s="36"/>
      <c r="AI243" s="36"/>
      <c r="AJ243" s="36"/>
      <c r="AK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7"/>
      <c r="Z244" s="36"/>
      <c r="AA244" s="37"/>
      <c r="AB244" s="37"/>
      <c r="AC244" s="37"/>
      <c r="AD244" s="36"/>
      <c r="AE244" s="36"/>
      <c r="AF244" s="36"/>
      <c r="AG244" s="36"/>
      <c r="AH244" s="36"/>
      <c r="AI244" s="36"/>
      <c r="AJ244" s="36"/>
      <c r="AK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7"/>
      <c r="Z245" s="36"/>
      <c r="AA245" s="37"/>
      <c r="AB245" s="37"/>
      <c r="AC245" s="37"/>
      <c r="AD245" s="36"/>
      <c r="AE245" s="36"/>
      <c r="AF245" s="36"/>
      <c r="AG245" s="36"/>
      <c r="AH245" s="36"/>
      <c r="AI245" s="36"/>
      <c r="AJ245" s="36"/>
      <c r="AK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7"/>
      <c r="Z246" s="36"/>
      <c r="AA246" s="37"/>
      <c r="AB246" s="37"/>
      <c r="AC246" s="37"/>
      <c r="AD246" s="36"/>
      <c r="AE246" s="36"/>
      <c r="AF246" s="36"/>
      <c r="AG246" s="36"/>
      <c r="AH246" s="36"/>
      <c r="AI246" s="36"/>
      <c r="AJ246" s="36"/>
      <c r="AK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7"/>
      <c r="Z247" s="36"/>
      <c r="AA247" s="37"/>
      <c r="AB247" s="37"/>
      <c r="AC247" s="37"/>
      <c r="AD247" s="36"/>
      <c r="AE247" s="36"/>
      <c r="AF247" s="36"/>
      <c r="AG247" s="36"/>
      <c r="AH247" s="36"/>
      <c r="AI247" s="36"/>
      <c r="AJ247" s="36"/>
      <c r="AK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7"/>
      <c r="Z248" s="36"/>
      <c r="AA248" s="37"/>
      <c r="AB248" s="37"/>
      <c r="AC248" s="37"/>
      <c r="AD248" s="36"/>
      <c r="AE248" s="36"/>
      <c r="AF248" s="36"/>
      <c r="AG248" s="36"/>
      <c r="AH248" s="36"/>
      <c r="AI248" s="36"/>
      <c r="AJ248" s="36"/>
      <c r="AK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7"/>
      <c r="Z249" s="36"/>
      <c r="AA249" s="37"/>
      <c r="AB249" s="37"/>
      <c r="AC249" s="37"/>
      <c r="AD249" s="36"/>
      <c r="AE249" s="36"/>
      <c r="AF249" s="36"/>
      <c r="AG249" s="36"/>
      <c r="AH249" s="36"/>
      <c r="AI249" s="36"/>
      <c r="AJ249" s="36"/>
      <c r="AK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7"/>
      <c r="Z250" s="36"/>
      <c r="AA250" s="37"/>
      <c r="AB250" s="37"/>
      <c r="AC250" s="37"/>
      <c r="AD250" s="36"/>
      <c r="AE250" s="36"/>
      <c r="AF250" s="36"/>
      <c r="AG250" s="36"/>
      <c r="AH250" s="36"/>
      <c r="AI250" s="36"/>
      <c r="AJ250" s="36"/>
      <c r="AK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7"/>
      <c r="Z251" s="36"/>
      <c r="AA251" s="37"/>
      <c r="AB251" s="37"/>
      <c r="AC251" s="37"/>
      <c r="AD251" s="36"/>
      <c r="AE251" s="36"/>
      <c r="AF251" s="36"/>
      <c r="AG251" s="36"/>
      <c r="AH251" s="36"/>
      <c r="AI251" s="36"/>
      <c r="AJ251" s="36"/>
      <c r="AK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7"/>
      <c r="Z252" s="36"/>
      <c r="AA252" s="37"/>
      <c r="AB252" s="37"/>
      <c r="AC252" s="37"/>
      <c r="AD252" s="36"/>
      <c r="AE252" s="36"/>
      <c r="AF252" s="36"/>
      <c r="AG252" s="36"/>
      <c r="AH252" s="36"/>
      <c r="AI252" s="36"/>
      <c r="AJ252" s="36"/>
      <c r="AK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7"/>
      <c r="Z253" s="36"/>
      <c r="AA253" s="37"/>
      <c r="AB253" s="37"/>
      <c r="AC253" s="37"/>
      <c r="AD253" s="36"/>
      <c r="AE253" s="36"/>
      <c r="AF253" s="36"/>
      <c r="AG253" s="36"/>
      <c r="AH253" s="36"/>
      <c r="AI253" s="36"/>
      <c r="AJ253" s="36"/>
      <c r="AK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7"/>
      <c r="Z254" s="36"/>
      <c r="AA254" s="37"/>
      <c r="AB254" s="37"/>
      <c r="AC254" s="37"/>
      <c r="AD254" s="36"/>
      <c r="AE254" s="36"/>
      <c r="AF254" s="36"/>
      <c r="AG254" s="36"/>
      <c r="AH254" s="36"/>
      <c r="AI254" s="36"/>
      <c r="AJ254" s="36"/>
      <c r="AK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7"/>
      <c r="Z255" s="36"/>
      <c r="AA255" s="37"/>
      <c r="AB255" s="37"/>
      <c r="AC255" s="37"/>
      <c r="AD255" s="36"/>
      <c r="AE255" s="36"/>
      <c r="AF255" s="36"/>
      <c r="AG255" s="36"/>
      <c r="AH255" s="36"/>
      <c r="AI255" s="36"/>
      <c r="AJ255" s="36"/>
      <c r="AK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7"/>
      <c r="Z256" s="36"/>
      <c r="AA256" s="37"/>
      <c r="AB256" s="37"/>
      <c r="AC256" s="37"/>
      <c r="AD256" s="36"/>
      <c r="AE256" s="36"/>
      <c r="AF256" s="36"/>
      <c r="AG256" s="36"/>
      <c r="AH256" s="36"/>
      <c r="AI256" s="36"/>
      <c r="AJ256" s="36"/>
      <c r="AK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7"/>
      <c r="Z257" s="36"/>
      <c r="AA257" s="37"/>
      <c r="AB257" s="37"/>
      <c r="AC257" s="37"/>
      <c r="AD257" s="36"/>
      <c r="AE257" s="36"/>
      <c r="AF257" s="36"/>
      <c r="AG257" s="36"/>
      <c r="AH257" s="36"/>
      <c r="AI257" s="36"/>
      <c r="AJ257" s="36"/>
      <c r="AK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7"/>
      <c r="Z258" s="36"/>
      <c r="AA258" s="37"/>
      <c r="AB258" s="37"/>
      <c r="AC258" s="37"/>
      <c r="AD258" s="36"/>
      <c r="AE258" s="36"/>
      <c r="AF258" s="36"/>
      <c r="AG258" s="36"/>
      <c r="AH258" s="36"/>
      <c r="AI258" s="36"/>
      <c r="AJ258" s="36"/>
      <c r="AK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7"/>
      <c r="Z259" s="36"/>
      <c r="AA259" s="37"/>
      <c r="AB259" s="37"/>
      <c r="AC259" s="37"/>
      <c r="AD259" s="36"/>
      <c r="AE259" s="36"/>
      <c r="AF259" s="36"/>
      <c r="AG259" s="36"/>
      <c r="AH259" s="36"/>
      <c r="AI259" s="36"/>
      <c r="AJ259" s="36"/>
      <c r="AK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7"/>
      <c r="Z260" s="36"/>
      <c r="AA260" s="37"/>
      <c r="AB260" s="37"/>
      <c r="AC260" s="37"/>
      <c r="AD260" s="36"/>
      <c r="AE260" s="36"/>
      <c r="AF260" s="36"/>
      <c r="AG260" s="36"/>
      <c r="AH260" s="36"/>
      <c r="AI260" s="36"/>
      <c r="AJ260" s="36"/>
      <c r="AK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7"/>
      <c r="Z261" s="36"/>
      <c r="AA261" s="37"/>
      <c r="AB261" s="37"/>
      <c r="AC261" s="37"/>
      <c r="AD261" s="36"/>
      <c r="AE261" s="36"/>
      <c r="AF261" s="36"/>
      <c r="AG261" s="36"/>
      <c r="AH261" s="36"/>
      <c r="AI261" s="36"/>
      <c r="AJ261" s="36"/>
      <c r="AK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7"/>
      <c r="Z262" s="36"/>
      <c r="AA262" s="37"/>
      <c r="AB262" s="37"/>
      <c r="AC262" s="37"/>
      <c r="AD262" s="36"/>
      <c r="AE262" s="36"/>
      <c r="AF262" s="36"/>
      <c r="AG262" s="36"/>
      <c r="AH262" s="36"/>
      <c r="AI262" s="36"/>
      <c r="AJ262" s="36"/>
      <c r="AK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7"/>
      <c r="Z263" s="36"/>
      <c r="AA263" s="37"/>
      <c r="AB263" s="37"/>
      <c r="AC263" s="37"/>
      <c r="AD263" s="36"/>
      <c r="AE263" s="36"/>
      <c r="AF263" s="36"/>
      <c r="AG263" s="36"/>
      <c r="AH263" s="36"/>
      <c r="AI263" s="36"/>
      <c r="AJ263" s="36"/>
      <c r="AK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7"/>
      <c r="Z264" s="36"/>
      <c r="AA264" s="37"/>
      <c r="AB264" s="37"/>
      <c r="AC264" s="37"/>
      <c r="AD264" s="36"/>
      <c r="AE264" s="36"/>
      <c r="AF264" s="36"/>
      <c r="AG264" s="36"/>
      <c r="AH264" s="36"/>
      <c r="AI264" s="36"/>
      <c r="AJ264" s="36"/>
      <c r="AK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7"/>
      <c r="Z265" s="36"/>
      <c r="AA265" s="37"/>
      <c r="AB265" s="37"/>
      <c r="AC265" s="37"/>
      <c r="AD265" s="36"/>
      <c r="AE265" s="36"/>
      <c r="AF265" s="36"/>
      <c r="AG265" s="36"/>
      <c r="AH265" s="36"/>
      <c r="AI265" s="36"/>
      <c r="AJ265" s="36"/>
      <c r="AK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7"/>
      <c r="Z266" s="36"/>
      <c r="AA266" s="37"/>
      <c r="AB266" s="37"/>
      <c r="AC266" s="37"/>
      <c r="AD266" s="36"/>
      <c r="AE266" s="36"/>
      <c r="AF266" s="36"/>
      <c r="AG266" s="36"/>
      <c r="AH266" s="36"/>
      <c r="AI266" s="36"/>
      <c r="AJ266" s="36"/>
      <c r="AK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7"/>
      <c r="Z267" s="36"/>
      <c r="AA267" s="37"/>
      <c r="AB267" s="37"/>
      <c r="AC267" s="37"/>
      <c r="AD267" s="36"/>
      <c r="AE267" s="36"/>
      <c r="AF267" s="36"/>
      <c r="AG267" s="36"/>
      <c r="AH267" s="36"/>
      <c r="AI267" s="36"/>
      <c r="AJ267" s="36"/>
      <c r="AK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7"/>
      <c r="Z268" s="36"/>
      <c r="AA268" s="37"/>
      <c r="AB268" s="37"/>
      <c r="AC268" s="37"/>
      <c r="AD268" s="36"/>
      <c r="AE268" s="36"/>
      <c r="AF268" s="36"/>
      <c r="AG268" s="36"/>
      <c r="AH268" s="36"/>
      <c r="AI268" s="36"/>
      <c r="AJ268" s="36"/>
      <c r="AK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7"/>
      <c r="Z269" s="36"/>
      <c r="AA269" s="37"/>
      <c r="AB269" s="37"/>
      <c r="AC269" s="37"/>
      <c r="AD269" s="36"/>
      <c r="AE269" s="36"/>
      <c r="AF269" s="36"/>
      <c r="AG269" s="36"/>
      <c r="AH269" s="36"/>
      <c r="AI269" s="36"/>
      <c r="AJ269" s="36"/>
      <c r="AK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7"/>
      <c r="Z270" s="36"/>
      <c r="AA270" s="37"/>
      <c r="AB270" s="37"/>
      <c r="AC270" s="37"/>
      <c r="AD270" s="36"/>
      <c r="AE270" s="36"/>
      <c r="AF270" s="36"/>
      <c r="AG270" s="36"/>
      <c r="AH270" s="36"/>
      <c r="AI270" s="36"/>
      <c r="AJ270" s="36"/>
      <c r="AK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7"/>
      <c r="Z271" s="36"/>
      <c r="AA271" s="37"/>
      <c r="AB271" s="37"/>
      <c r="AC271" s="37"/>
      <c r="AD271" s="36"/>
      <c r="AE271" s="36"/>
      <c r="AF271" s="36"/>
      <c r="AG271" s="36"/>
      <c r="AH271" s="36"/>
      <c r="AI271" s="36"/>
      <c r="AJ271" s="36"/>
      <c r="AK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7"/>
      <c r="Z272" s="36"/>
      <c r="AA272" s="37"/>
      <c r="AB272" s="37"/>
      <c r="AC272" s="37"/>
      <c r="AD272" s="36"/>
      <c r="AE272" s="36"/>
      <c r="AF272" s="36"/>
      <c r="AG272" s="36"/>
      <c r="AH272" s="36"/>
      <c r="AI272" s="36"/>
      <c r="AJ272" s="36"/>
      <c r="AK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7"/>
      <c r="Z273" s="36"/>
      <c r="AA273" s="37"/>
      <c r="AB273" s="37"/>
      <c r="AC273" s="37"/>
      <c r="AD273" s="36"/>
      <c r="AE273" s="36"/>
      <c r="AF273" s="36"/>
      <c r="AG273" s="36"/>
      <c r="AH273" s="36"/>
      <c r="AI273" s="36"/>
      <c r="AJ273" s="36"/>
      <c r="AK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7"/>
      <c r="Z274" s="36"/>
      <c r="AA274" s="37"/>
      <c r="AB274" s="37"/>
      <c r="AC274" s="37"/>
      <c r="AD274" s="36"/>
      <c r="AE274" s="36"/>
      <c r="AF274" s="36"/>
      <c r="AG274" s="36"/>
      <c r="AH274" s="36"/>
      <c r="AI274" s="36"/>
      <c r="AJ274" s="36"/>
      <c r="AK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7"/>
      <c r="Z275" s="36"/>
      <c r="AA275" s="37"/>
      <c r="AB275" s="37"/>
      <c r="AC275" s="37"/>
      <c r="AD275" s="36"/>
      <c r="AE275" s="36"/>
      <c r="AF275" s="36"/>
      <c r="AG275" s="36"/>
      <c r="AH275" s="36"/>
      <c r="AI275" s="36"/>
      <c r="AJ275" s="36"/>
      <c r="AK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7"/>
      <c r="Z276" s="36"/>
      <c r="AA276" s="37"/>
      <c r="AB276" s="37"/>
      <c r="AC276" s="37"/>
      <c r="AD276" s="36"/>
      <c r="AE276" s="36"/>
      <c r="AF276" s="36"/>
      <c r="AG276" s="36"/>
      <c r="AH276" s="36"/>
      <c r="AI276" s="36"/>
      <c r="AJ276" s="36"/>
      <c r="AK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7"/>
      <c r="Z277" s="36"/>
      <c r="AA277" s="37"/>
      <c r="AB277" s="37"/>
      <c r="AC277" s="37"/>
      <c r="AD277" s="36"/>
      <c r="AE277" s="36"/>
      <c r="AF277" s="36"/>
      <c r="AG277" s="36"/>
      <c r="AH277" s="36"/>
      <c r="AI277" s="36"/>
      <c r="AJ277" s="36"/>
      <c r="AK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7"/>
      <c r="Z278" s="36"/>
      <c r="AA278" s="37"/>
      <c r="AB278" s="37"/>
      <c r="AC278" s="37"/>
      <c r="AD278" s="36"/>
      <c r="AE278" s="36"/>
      <c r="AF278" s="36"/>
      <c r="AG278" s="36"/>
      <c r="AH278" s="36"/>
      <c r="AI278" s="36"/>
      <c r="AJ278" s="36"/>
      <c r="AK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7"/>
      <c r="Z279" s="36"/>
      <c r="AA279" s="37"/>
      <c r="AB279" s="37"/>
      <c r="AC279" s="37"/>
      <c r="AD279" s="36"/>
      <c r="AE279" s="36"/>
      <c r="AF279" s="36"/>
      <c r="AG279" s="36"/>
      <c r="AH279" s="36"/>
      <c r="AI279" s="36"/>
      <c r="AJ279" s="36"/>
      <c r="AK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7"/>
      <c r="Z280" s="36"/>
      <c r="AA280" s="37"/>
      <c r="AB280" s="37"/>
      <c r="AC280" s="37"/>
      <c r="AD280" s="36"/>
      <c r="AE280" s="36"/>
      <c r="AF280" s="36"/>
      <c r="AG280" s="36"/>
      <c r="AH280" s="36"/>
      <c r="AI280" s="36"/>
      <c r="AJ280" s="36"/>
      <c r="AK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7"/>
      <c r="Z281" s="36"/>
      <c r="AA281" s="37"/>
      <c r="AB281" s="37"/>
      <c r="AC281" s="37"/>
      <c r="AD281" s="36"/>
      <c r="AE281" s="36"/>
      <c r="AF281" s="36"/>
      <c r="AG281" s="36"/>
      <c r="AH281" s="36"/>
      <c r="AI281" s="36"/>
      <c r="AJ281" s="36"/>
      <c r="AK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7"/>
      <c r="Z282" s="36"/>
      <c r="AA282" s="37"/>
      <c r="AB282" s="37"/>
      <c r="AC282" s="37"/>
      <c r="AD282" s="36"/>
      <c r="AE282" s="36"/>
      <c r="AF282" s="36"/>
      <c r="AG282" s="36"/>
      <c r="AH282" s="36"/>
      <c r="AI282" s="36"/>
      <c r="AJ282" s="36"/>
      <c r="AK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7"/>
      <c r="Z283" s="36"/>
      <c r="AA283" s="37"/>
      <c r="AB283" s="37"/>
      <c r="AC283" s="37"/>
      <c r="AD283" s="36"/>
      <c r="AE283" s="36"/>
      <c r="AF283" s="36"/>
      <c r="AG283" s="36"/>
      <c r="AH283" s="36"/>
      <c r="AI283" s="36"/>
      <c r="AJ283" s="36"/>
      <c r="AK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7"/>
      <c r="Z284" s="36"/>
      <c r="AA284" s="37"/>
      <c r="AB284" s="37"/>
      <c r="AC284" s="37"/>
      <c r="AD284" s="36"/>
      <c r="AE284" s="36"/>
      <c r="AF284" s="36"/>
      <c r="AG284" s="36"/>
      <c r="AH284" s="36"/>
      <c r="AI284" s="36"/>
      <c r="AJ284" s="36"/>
      <c r="AK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7"/>
      <c r="Z285" s="36"/>
      <c r="AA285" s="37"/>
      <c r="AB285" s="37"/>
      <c r="AC285" s="37"/>
      <c r="AD285" s="36"/>
      <c r="AE285" s="36"/>
      <c r="AF285" s="36"/>
      <c r="AG285" s="36"/>
      <c r="AH285" s="36"/>
      <c r="AI285" s="36"/>
      <c r="AJ285" s="36"/>
      <c r="AK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7"/>
      <c r="Z286" s="36"/>
      <c r="AA286" s="37"/>
      <c r="AB286" s="37"/>
      <c r="AC286" s="37"/>
      <c r="AD286" s="36"/>
      <c r="AE286" s="36"/>
      <c r="AF286" s="36"/>
      <c r="AG286" s="36"/>
      <c r="AH286" s="36"/>
      <c r="AI286" s="36"/>
      <c r="AJ286" s="36"/>
      <c r="AK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7"/>
      <c r="Z287" s="36"/>
      <c r="AA287" s="37"/>
      <c r="AB287" s="37"/>
      <c r="AC287" s="37"/>
      <c r="AD287" s="36"/>
      <c r="AE287" s="36"/>
      <c r="AF287" s="36"/>
      <c r="AG287" s="36"/>
      <c r="AH287" s="36"/>
      <c r="AI287" s="36"/>
      <c r="AJ287" s="36"/>
      <c r="AK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7"/>
      <c r="Z288" s="36"/>
      <c r="AA288" s="37"/>
      <c r="AB288" s="37"/>
      <c r="AC288" s="37"/>
      <c r="AD288" s="36"/>
      <c r="AE288" s="36"/>
      <c r="AF288" s="36"/>
      <c r="AG288" s="36"/>
      <c r="AH288" s="36"/>
      <c r="AI288" s="36"/>
      <c r="AJ288" s="36"/>
      <c r="AK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7"/>
      <c r="Z289" s="36"/>
      <c r="AA289" s="37"/>
      <c r="AB289" s="37"/>
      <c r="AC289" s="37"/>
      <c r="AD289" s="36"/>
      <c r="AE289" s="36"/>
      <c r="AF289" s="36"/>
      <c r="AG289" s="36"/>
      <c r="AH289" s="36"/>
      <c r="AI289" s="36"/>
      <c r="AJ289" s="36"/>
      <c r="AK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7"/>
      <c r="Z290" s="36"/>
      <c r="AA290" s="37"/>
      <c r="AB290" s="37"/>
      <c r="AC290" s="37"/>
      <c r="AD290" s="36"/>
      <c r="AE290" s="36"/>
      <c r="AF290" s="36"/>
      <c r="AG290" s="36"/>
      <c r="AH290" s="36"/>
      <c r="AI290" s="36"/>
      <c r="AJ290" s="36"/>
      <c r="AK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7"/>
      <c r="Z291" s="36"/>
      <c r="AA291" s="37"/>
      <c r="AB291" s="37"/>
      <c r="AC291" s="37"/>
      <c r="AD291" s="36"/>
      <c r="AE291" s="36"/>
      <c r="AF291" s="36"/>
      <c r="AG291" s="36"/>
      <c r="AH291" s="36"/>
      <c r="AI291" s="36"/>
      <c r="AJ291" s="36"/>
      <c r="AK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7"/>
      <c r="Z292" s="36"/>
      <c r="AA292" s="37"/>
      <c r="AB292" s="37"/>
      <c r="AC292" s="37"/>
      <c r="AD292" s="36"/>
      <c r="AE292" s="36"/>
      <c r="AF292" s="36"/>
      <c r="AG292" s="36"/>
      <c r="AH292" s="36"/>
      <c r="AI292" s="36"/>
      <c r="AJ292" s="36"/>
      <c r="AK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7"/>
      <c r="Z293" s="36"/>
      <c r="AA293" s="37"/>
      <c r="AB293" s="37"/>
      <c r="AC293" s="37"/>
      <c r="AD293" s="36"/>
      <c r="AE293" s="36"/>
      <c r="AF293" s="36"/>
      <c r="AG293" s="36"/>
      <c r="AH293" s="36"/>
      <c r="AI293" s="36"/>
      <c r="AJ293" s="36"/>
      <c r="AK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7"/>
      <c r="Z294" s="36"/>
      <c r="AA294" s="37"/>
      <c r="AB294" s="37"/>
      <c r="AC294" s="37"/>
      <c r="AD294" s="36"/>
      <c r="AE294" s="36"/>
      <c r="AF294" s="36"/>
      <c r="AG294" s="36"/>
      <c r="AH294" s="36"/>
      <c r="AI294" s="36"/>
      <c r="AJ294" s="36"/>
      <c r="AK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7"/>
      <c r="Z295" s="36"/>
      <c r="AA295" s="37"/>
      <c r="AB295" s="37"/>
      <c r="AC295" s="37"/>
      <c r="AD295" s="36"/>
      <c r="AE295" s="36"/>
      <c r="AF295" s="36"/>
      <c r="AG295" s="36"/>
      <c r="AH295" s="36"/>
      <c r="AI295" s="36"/>
      <c r="AJ295" s="36"/>
      <c r="AK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7"/>
      <c r="Z296" s="36"/>
      <c r="AA296" s="37"/>
      <c r="AB296" s="37"/>
      <c r="AC296" s="37"/>
      <c r="AD296" s="36"/>
      <c r="AE296" s="36"/>
      <c r="AF296" s="36"/>
      <c r="AG296" s="36"/>
      <c r="AH296" s="36"/>
      <c r="AI296" s="36"/>
      <c r="AJ296" s="36"/>
      <c r="AK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7"/>
      <c r="Z297" s="36"/>
      <c r="AA297" s="37"/>
      <c r="AB297" s="37"/>
      <c r="AC297" s="37"/>
      <c r="AD297" s="36"/>
      <c r="AE297" s="36"/>
      <c r="AF297" s="36"/>
      <c r="AG297" s="36"/>
      <c r="AH297" s="36"/>
      <c r="AI297" s="36"/>
      <c r="AJ297" s="36"/>
      <c r="AK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7"/>
      <c r="Z298" s="36"/>
      <c r="AA298" s="37"/>
      <c r="AB298" s="37"/>
      <c r="AC298" s="37"/>
      <c r="AD298" s="36"/>
      <c r="AE298" s="36"/>
      <c r="AF298" s="36"/>
      <c r="AG298" s="36"/>
      <c r="AH298" s="36"/>
      <c r="AI298" s="36"/>
      <c r="AJ298" s="36"/>
      <c r="AK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7"/>
      <c r="Z299" s="36"/>
      <c r="AA299" s="37"/>
      <c r="AB299" s="37"/>
      <c r="AC299" s="37"/>
      <c r="AD299" s="36"/>
      <c r="AE299" s="36"/>
      <c r="AF299" s="36"/>
      <c r="AG299" s="36"/>
      <c r="AH299" s="36"/>
      <c r="AI299" s="36"/>
      <c r="AJ299" s="36"/>
      <c r="AK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7"/>
      <c r="Z300" s="36"/>
      <c r="AA300" s="37"/>
      <c r="AB300" s="37"/>
      <c r="AC300" s="37"/>
      <c r="AD300" s="36"/>
      <c r="AE300" s="36"/>
      <c r="AF300" s="36"/>
      <c r="AG300" s="36"/>
      <c r="AH300" s="36"/>
      <c r="AI300" s="36"/>
      <c r="AJ300" s="36"/>
      <c r="AK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7"/>
      <c r="Z301" s="36"/>
      <c r="AA301" s="37"/>
      <c r="AB301" s="37"/>
      <c r="AC301" s="37"/>
      <c r="AD301" s="36"/>
      <c r="AE301" s="36"/>
      <c r="AF301" s="36"/>
      <c r="AG301" s="36"/>
      <c r="AH301" s="36"/>
      <c r="AI301" s="36"/>
      <c r="AJ301" s="36"/>
      <c r="AK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7"/>
      <c r="Z302" s="36"/>
      <c r="AA302" s="37"/>
      <c r="AB302" s="37"/>
      <c r="AC302" s="37"/>
      <c r="AD302" s="36"/>
      <c r="AE302" s="36"/>
      <c r="AF302" s="36"/>
      <c r="AG302" s="36"/>
      <c r="AH302" s="36"/>
      <c r="AI302" s="36"/>
      <c r="AJ302" s="36"/>
      <c r="AK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7"/>
      <c r="Z303" s="36"/>
      <c r="AA303" s="37"/>
      <c r="AB303" s="37"/>
      <c r="AC303" s="37"/>
      <c r="AD303" s="36"/>
      <c r="AE303" s="36"/>
      <c r="AF303" s="36"/>
      <c r="AG303" s="36"/>
      <c r="AH303" s="36"/>
      <c r="AI303" s="36"/>
      <c r="AJ303" s="36"/>
      <c r="AK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7"/>
      <c r="Z304" s="36"/>
      <c r="AA304" s="37"/>
      <c r="AB304" s="37"/>
      <c r="AC304" s="37"/>
      <c r="AD304" s="36"/>
      <c r="AE304" s="36"/>
      <c r="AF304" s="36"/>
      <c r="AG304" s="36"/>
      <c r="AH304" s="36"/>
      <c r="AI304" s="36"/>
      <c r="AJ304" s="36"/>
      <c r="AK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7"/>
      <c r="Z305" s="36"/>
      <c r="AA305" s="37"/>
      <c r="AB305" s="37"/>
      <c r="AC305" s="37"/>
      <c r="AD305" s="36"/>
      <c r="AE305" s="36"/>
      <c r="AF305" s="36"/>
      <c r="AG305" s="36"/>
      <c r="AH305" s="36"/>
      <c r="AI305" s="36"/>
      <c r="AJ305" s="36"/>
      <c r="AK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7"/>
      <c r="Z306" s="36"/>
      <c r="AA306" s="37"/>
      <c r="AB306" s="37"/>
      <c r="AC306" s="37"/>
      <c r="AD306" s="36"/>
      <c r="AE306" s="36"/>
      <c r="AF306" s="36"/>
      <c r="AG306" s="36"/>
      <c r="AH306" s="36"/>
      <c r="AI306" s="36"/>
      <c r="AJ306" s="36"/>
      <c r="AK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7"/>
      <c r="Z307" s="36"/>
      <c r="AA307" s="37"/>
      <c r="AB307" s="37"/>
      <c r="AC307" s="37"/>
      <c r="AD307" s="36"/>
      <c r="AE307" s="36"/>
      <c r="AF307" s="36"/>
      <c r="AG307" s="36"/>
      <c r="AH307" s="36"/>
      <c r="AI307" s="36"/>
      <c r="AJ307" s="36"/>
      <c r="AK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7"/>
      <c r="Z308" s="36"/>
      <c r="AA308" s="37"/>
      <c r="AB308" s="37"/>
      <c r="AC308" s="37"/>
      <c r="AD308" s="36"/>
      <c r="AE308" s="36"/>
      <c r="AF308" s="36"/>
      <c r="AG308" s="36"/>
      <c r="AH308" s="36"/>
      <c r="AI308" s="36"/>
      <c r="AJ308" s="36"/>
      <c r="AK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7"/>
      <c r="Z309" s="36"/>
      <c r="AA309" s="37"/>
      <c r="AB309" s="37"/>
      <c r="AC309" s="37"/>
      <c r="AD309" s="36"/>
      <c r="AE309" s="36"/>
      <c r="AF309" s="36"/>
      <c r="AG309" s="36"/>
      <c r="AH309" s="36"/>
      <c r="AI309" s="36"/>
      <c r="AJ309" s="36"/>
      <c r="AK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7"/>
      <c r="Z310" s="36"/>
      <c r="AA310" s="37"/>
      <c r="AB310" s="37"/>
      <c r="AC310" s="37"/>
      <c r="AD310" s="36"/>
      <c r="AE310" s="36"/>
      <c r="AF310" s="36"/>
      <c r="AG310" s="36"/>
      <c r="AH310" s="36"/>
      <c r="AI310" s="36"/>
      <c r="AJ310" s="36"/>
      <c r="AK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7"/>
      <c r="Z311" s="36"/>
      <c r="AA311" s="37"/>
      <c r="AB311" s="37"/>
      <c r="AC311" s="37"/>
      <c r="AD311" s="36"/>
      <c r="AE311" s="36"/>
      <c r="AF311" s="36"/>
      <c r="AG311" s="36"/>
      <c r="AH311" s="36"/>
      <c r="AI311" s="36"/>
      <c r="AJ311" s="36"/>
      <c r="AK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7"/>
      <c r="Z312" s="36"/>
      <c r="AA312" s="37"/>
      <c r="AB312" s="37"/>
      <c r="AC312" s="37"/>
      <c r="AD312" s="36"/>
      <c r="AE312" s="36"/>
      <c r="AF312" s="36"/>
      <c r="AG312" s="36"/>
      <c r="AH312" s="36"/>
      <c r="AI312" s="36"/>
      <c r="AJ312" s="36"/>
      <c r="AK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7"/>
      <c r="Z313" s="36"/>
      <c r="AA313" s="37"/>
      <c r="AB313" s="37"/>
      <c r="AC313" s="37"/>
      <c r="AD313" s="36"/>
      <c r="AE313" s="36"/>
      <c r="AF313" s="36"/>
      <c r="AG313" s="36"/>
      <c r="AH313" s="36"/>
      <c r="AI313" s="36"/>
      <c r="AJ313" s="36"/>
      <c r="AK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7"/>
      <c r="Z314" s="36"/>
      <c r="AA314" s="37"/>
      <c r="AB314" s="37"/>
      <c r="AC314" s="37"/>
      <c r="AD314" s="36"/>
      <c r="AE314" s="36"/>
      <c r="AF314" s="36"/>
      <c r="AG314" s="36"/>
      <c r="AH314" s="36"/>
      <c r="AI314" s="36"/>
      <c r="AJ314" s="36"/>
      <c r="AK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7"/>
      <c r="Z315" s="36"/>
      <c r="AA315" s="37"/>
      <c r="AB315" s="37"/>
      <c r="AC315" s="37"/>
      <c r="AD315" s="36"/>
      <c r="AE315" s="36"/>
      <c r="AF315" s="36"/>
      <c r="AG315" s="36"/>
      <c r="AH315" s="36"/>
      <c r="AI315" s="36"/>
      <c r="AJ315" s="36"/>
      <c r="AK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7"/>
      <c r="Z316" s="36"/>
      <c r="AA316" s="37"/>
      <c r="AB316" s="37"/>
      <c r="AC316" s="37"/>
      <c r="AD316" s="36"/>
      <c r="AE316" s="36"/>
      <c r="AF316" s="36"/>
      <c r="AG316" s="36"/>
      <c r="AH316" s="36"/>
      <c r="AI316" s="36"/>
      <c r="AJ316" s="36"/>
      <c r="AK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7"/>
      <c r="Z317" s="36"/>
      <c r="AA317" s="37"/>
      <c r="AB317" s="37"/>
      <c r="AC317" s="37"/>
      <c r="AD317" s="36"/>
      <c r="AE317" s="36"/>
      <c r="AF317" s="36"/>
      <c r="AG317" s="36"/>
      <c r="AH317" s="36"/>
      <c r="AI317" s="36"/>
      <c r="AJ317" s="36"/>
      <c r="AK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7"/>
      <c r="Z318" s="36"/>
      <c r="AA318" s="37"/>
      <c r="AB318" s="37"/>
      <c r="AC318" s="37"/>
      <c r="AD318" s="36"/>
      <c r="AE318" s="36"/>
      <c r="AF318" s="36"/>
      <c r="AG318" s="36"/>
      <c r="AH318" s="36"/>
      <c r="AI318" s="36"/>
      <c r="AJ318" s="36"/>
      <c r="AK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7"/>
      <c r="Z319" s="36"/>
      <c r="AA319" s="37"/>
      <c r="AB319" s="37"/>
      <c r="AC319" s="37"/>
      <c r="AD319" s="36"/>
      <c r="AE319" s="36"/>
      <c r="AF319" s="36"/>
      <c r="AG319" s="36"/>
      <c r="AH319" s="36"/>
      <c r="AI319" s="36"/>
      <c r="AJ319" s="36"/>
      <c r="AK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7"/>
      <c r="Z320" s="36"/>
      <c r="AA320" s="37"/>
      <c r="AB320" s="37"/>
      <c r="AC320" s="37"/>
      <c r="AD320" s="36"/>
      <c r="AE320" s="36"/>
      <c r="AF320" s="36"/>
      <c r="AG320" s="36"/>
      <c r="AH320" s="36"/>
      <c r="AI320" s="36"/>
      <c r="AJ320" s="36"/>
      <c r="AK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7"/>
      <c r="Z321" s="36"/>
      <c r="AA321" s="37"/>
      <c r="AB321" s="37"/>
      <c r="AC321" s="37"/>
      <c r="AD321" s="36"/>
      <c r="AE321" s="36"/>
      <c r="AF321" s="36"/>
      <c r="AG321" s="36"/>
      <c r="AH321" s="36"/>
      <c r="AI321" s="36"/>
      <c r="AJ321" s="36"/>
      <c r="AK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7"/>
      <c r="Z322" s="36"/>
      <c r="AA322" s="37"/>
      <c r="AB322" s="37"/>
      <c r="AC322" s="37"/>
      <c r="AD322" s="36"/>
      <c r="AE322" s="36"/>
      <c r="AF322" s="36"/>
      <c r="AG322" s="36"/>
      <c r="AH322" s="36"/>
      <c r="AI322" s="36"/>
      <c r="AJ322" s="36"/>
      <c r="AK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7"/>
      <c r="Z323" s="36"/>
      <c r="AA323" s="37"/>
      <c r="AB323" s="37"/>
      <c r="AC323" s="37"/>
      <c r="AD323" s="36"/>
      <c r="AE323" s="36"/>
      <c r="AF323" s="36"/>
      <c r="AG323" s="36"/>
      <c r="AH323" s="36"/>
      <c r="AI323" s="36"/>
      <c r="AJ323" s="36"/>
      <c r="AK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7"/>
      <c r="Z324" s="36"/>
      <c r="AA324" s="37"/>
      <c r="AB324" s="37"/>
      <c r="AC324" s="37"/>
      <c r="AD324" s="36"/>
      <c r="AE324" s="36"/>
      <c r="AF324" s="36"/>
      <c r="AG324" s="36"/>
      <c r="AH324" s="36"/>
      <c r="AI324" s="36"/>
      <c r="AJ324" s="36"/>
      <c r="AK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7"/>
      <c r="Z325" s="36"/>
      <c r="AA325" s="37"/>
      <c r="AB325" s="37"/>
      <c r="AC325" s="37"/>
      <c r="AD325" s="36"/>
      <c r="AE325" s="36"/>
      <c r="AF325" s="36"/>
      <c r="AG325" s="36"/>
      <c r="AH325" s="36"/>
      <c r="AI325" s="36"/>
      <c r="AJ325" s="36"/>
      <c r="AK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7"/>
      <c r="Z326" s="36"/>
      <c r="AA326" s="37"/>
      <c r="AB326" s="37"/>
      <c r="AC326" s="37"/>
      <c r="AD326" s="36"/>
      <c r="AE326" s="36"/>
      <c r="AF326" s="36"/>
      <c r="AG326" s="36"/>
      <c r="AH326" s="36"/>
      <c r="AI326" s="36"/>
      <c r="AJ326" s="36"/>
      <c r="AK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7"/>
      <c r="Z327" s="36"/>
      <c r="AA327" s="37"/>
      <c r="AB327" s="37"/>
      <c r="AC327" s="37"/>
      <c r="AD327" s="36"/>
      <c r="AE327" s="36"/>
      <c r="AF327" s="36"/>
      <c r="AG327" s="36"/>
      <c r="AH327" s="36"/>
      <c r="AI327" s="36"/>
      <c r="AJ327" s="36"/>
      <c r="AK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7"/>
      <c r="Z328" s="36"/>
      <c r="AA328" s="37"/>
      <c r="AB328" s="37"/>
      <c r="AC328" s="37"/>
      <c r="AD328" s="36"/>
      <c r="AE328" s="36"/>
      <c r="AF328" s="36"/>
      <c r="AG328" s="36"/>
      <c r="AH328" s="36"/>
      <c r="AI328" s="36"/>
      <c r="AJ328" s="36"/>
      <c r="AK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7"/>
      <c r="Z329" s="36"/>
      <c r="AA329" s="37"/>
      <c r="AB329" s="37"/>
      <c r="AC329" s="37"/>
      <c r="AD329" s="36"/>
      <c r="AE329" s="36"/>
      <c r="AF329" s="36"/>
      <c r="AG329" s="36"/>
      <c r="AH329" s="36"/>
      <c r="AI329" s="36"/>
      <c r="AJ329" s="36"/>
      <c r="AK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7"/>
      <c r="Z330" s="36"/>
      <c r="AA330" s="37"/>
      <c r="AB330" s="37"/>
      <c r="AC330" s="37"/>
      <c r="AD330" s="36"/>
      <c r="AE330" s="36"/>
      <c r="AF330" s="36"/>
      <c r="AG330" s="36"/>
      <c r="AH330" s="36"/>
      <c r="AI330" s="36"/>
      <c r="AJ330" s="36"/>
      <c r="AK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7"/>
      <c r="Z331" s="36"/>
      <c r="AA331" s="37"/>
      <c r="AB331" s="37"/>
      <c r="AC331" s="37"/>
      <c r="AD331" s="36"/>
      <c r="AE331" s="36"/>
      <c r="AF331" s="36"/>
      <c r="AG331" s="36"/>
      <c r="AH331" s="36"/>
      <c r="AI331" s="36"/>
      <c r="AJ331" s="36"/>
      <c r="AK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7"/>
      <c r="Z332" s="36"/>
      <c r="AA332" s="37"/>
      <c r="AB332" s="37"/>
      <c r="AC332" s="37"/>
      <c r="AD332" s="36"/>
      <c r="AE332" s="36"/>
      <c r="AF332" s="36"/>
      <c r="AG332" s="36"/>
      <c r="AH332" s="36"/>
      <c r="AI332" s="36"/>
      <c r="AJ332" s="36"/>
      <c r="AK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7"/>
      <c r="Z333" s="36"/>
      <c r="AA333" s="37"/>
      <c r="AB333" s="37"/>
      <c r="AC333" s="37"/>
      <c r="AD333" s="36"/>
      <c r="AE333" s="36"/>
      <c r="AF333" s="36"/>
      <c r="AG333" s="36"/>
      <c r="AH333" s="36"/>
      <c r="AI333" s="36"/>
      <c r="AJ333" s="36"/>
      <c r="AK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7"/>
      <c r="Z334" s="36"/>
      <c r="AA334" s="37"/>
      <c r="AB334" s="37"/>
      <c r="AC334" s="37"/>
      <c r="AD334" s="36"/>
      <c r="AE334" s="36"/>
      <c r="AF334" s="36"/>
      <c r="AG334" s="36"/>
      <c r="AH334" s="36"/>
      <c r="AI334" s="36"/>
      <c r="AJ334" s="36"/>
      <c r="AK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7"/>
      <c r="Z335" s="36"/>
      <c r="AA335" s="37"/>
      <c r="AB335" s="37"/>
      <c r="AC335" s="37"/>
      <c r="AD335" s="36"/>
      <c r="AE335" s="36"/>
      <c r="AF335" s="36"/>
      <c r="AG335" s="36"/>
      <c r="AH335" s="36"/>
      <c r="AI335" s="36"/>
      <c r="AJ335" s="36"/>
      <c r="AK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7"/>
      <c r="Z336" s="36"/>
      <c r="AA336" s="37"/>
      <c r="AB336" s="37"/>
      <c r="AC336" s="37"/>
      <c r="AD336" s="36"/>
      <c r="AE336" s="36"/>
      <c r="AF336" s="36"/>
      <c r="AG336" s="36"/>
      <c r="AH336" s="36"/>
      <c r="AI336" s="36"/>
      <c r="AJ336" s="36"/>
      <c r="AK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7"/>
      <c r="Z337" s="36"/>
      <c r="AA337" s="37"/>
      <c r="AB337" s="37"/>
      <c r="AC337" s="37"/>
      <c r="AD337" s="36"/>
      <c r="AE337" s="36"/>
      <c r="AF337" s="36"/>
      <c r="AG337" s="36"/>
      <c r="AH337" s="36"/>
      <c r="AI337" s="36"/>
      <c r="AJ337" s="36"/>
      <c r="AK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7"/>
      <c r="Z338" s="36"/>
      <c r="AA338" s="37"/>
      <c r="AB338" s="37"/>
      <c r="AC338" s="37"/>
      <c r="AD338" s="36"/>
      <c r="AE338" s="36"/>
      <c r="AF338" s="36"/>
      <c r="AG338" s="36"/>
      <c r="AH338" s="36"/>
      <c r="AI338" s="36"/>
      <c r="AJ338" s="36"/>
      <c r="AK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7"/>
      <c r="Z339" s="36"/>
      <c r="AA339" s="37"/>
      <c r="AB339" s="37"/>
      <c r="AC339" s="37"/>
      <c r="AD339" s="36"/>
      <c r="AE339" s="36"/>
      <c r="AF339" s="36"/>
      <c r="AG339" s="36"/>
      <c r="AH339" s="36"/>
      <c r="AI339" s="36"/>
      <c r="AJ339" s="36"/>
      <c r="AK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7"/>
      <c r="Z340" s="36"/>
      <c r="AA340" s="37"/>
      <c r="AB340" s="37"/>
      <c r="AC340" s="37"/>
      <c r="AD340" s="36"/>
      <c r="AE340" s="36"/>
      <c r="AF340" s="36"/>
      <c r="AG340" s="36"/>
      <c r="AH340" s="36"/>
      <c r="AI340" s="36"/>
      <c r="AJ340" s="36"/>
      <c r="AK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7"/>
      <c r="Z341" s="36"/>
      <c r="AA341" s="37"/>
      <c r="AB341" s="37"/>
      <c r="AC341" s="37"/>
      <c r="AD341" s="36"/>
      <c r="AE341" s="36"/>
      <c r="AF341" s="36"/>
      <c r="AG341" s="36"/>
      <c r="AH341" s="36"/>
      <c r="AI341" s="36"/>
      <c r="AJ341" s="36"/>
      <c r="AK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7"/>
      <c r="Z342" s="36"/>
      <c r="AA342" s="37"/>
      <c r="AB342" s="37"/>
      <c r="AC342" s="37"/>
      <c r="AD342" s="36"/>
      <c r="AE342" s="36"/>
      <c r="AF342" s="36"/>
      <c r="AG342" s="36"/>
      <c r="AH342" s="36"/>
      <c r="AI342" s="36"/>
      <c r="AJ342" s="36"/>
      <c r="AK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7"/>
      <c r="Z343" s="36"/>
      <c r="AA343" s="37"/>
      <c r="AB343" s="37"/>
      <c r="AC343" s="37"/>
      <c r="AD343" s="36"/>
      <c r="AE343" s="36"/>
      <c r="AF343" s="36"/>
      <c r="AG343" s="36"/>
      <c r="AH343" s="36"/>
      <c r="AI343" s="36"/>
      <c r="AJ343" s="36"/>
      <c r="AK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7"/>
      <c r="Z344" s="36"/>
      <c r="AA344" s="37"/>
      <c r="AB344" s="37"/>
      <c r="AC344" s="37"/>
      <c r="AD344" s="36"/>
      <c r="AE344" s="36"/>
      <c r="AF344" s="36"/>
      <c r="AG344" s="36"/>
      <c r="AH344" s="36"/>
      <c r="AI344" s="36"/>
      <c r="AJ344" s="36"/>
      <c r="AK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7"/>
      <c r="Z345" s="36"/>
      <c r="AA345" s="37"/>
      <c r="AB345" s="37"/>
      <c r="AC345" s="37"/>
      <c r="AD345" s="36"/>
      <c r="AE345" s="36"/>
      <c r="AF345" s="36"/>
      <c r="AG345" s="36"/>
      <c r="AH345" s="36"/>
      <c r="AI345" s="36"/>
      <c r="AJ345" s="36"/>
      <c r="AK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7"/>
      <c r="Z346" s="36"/>
      <c r="AA346" s="37"/>
      <c r="AB346" s="37"/>
      <c r="AC346" s="37"/>
      <c r="AD346" s="36"/>
      <c r="AE346" s="36"/>
      <c r="AF346" s="36"/>
      <c r="AG346" s="36"/>
      <c r="AH346" s="36"/>
      <c r="AI346" s="36"/>
      <c r="AJ346" s="36"/>
      <c r="AK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7"/>
      <c r="Z347" s="36"/>
      <c r="AA347" s="37"/>
      <c r="AB347" s="37"/>
      <c r="AC347" s="37"/>
      <c r="AD347" s="36"/>
      <c r="AE347" s="36"/>
      <c r="AF347" s="36"/>
      <c r="AG347" s="36"/>
      <c r="AH347" s="36"/>
      <c r="AI347" s="36"/>
      <c r="AJ347" s="36"/>
      <c r="AK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7"/>
      <c r="Z348" s="36"/>
      <c r="AA348" s="37"/>
      <c r="AB348" s="37"/>
      <c r="AC348" s="37"/>
      <c r="AD348" s="36"/>
      <c r="AE348" s="36"/>
      <c r="AF348" s="36"/>
      <c r="AG348" s="36"/>
      <c r="AH348" s="36"/>
      <c r="AI348" s="36"/>
      <c r="AJ348" s="36"/>
      <c r="AK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7"/>
      <c r="Z349" s="36"/>
      <c r="AA349" s="37"/>
      <c r="AB349" s="37"/>
      <c r="AC349" s="37"/>
      <c r="AD349" s="36"/>
      <c r="AE349" s="36"/>
      <c r="AF349" s="36"/>
      <c r="AG349" s="36"/>
      <c r="AH349" s="36"/>
      <c r="AI349" s="36"/>
      <c r="AJ349" s="36"/>
      <c r="AK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7"/>
      <c r="Z350" s="36"/>
      <c r="AA350" s="37"/>
      <c r="AB350" s="37"/>
      <c r="AC350" s="37"/>
      <c r="AD350" s="36"/>
      <c r="AE350" s="36"/>
      <c r="AF350" s="36"/>
      <c r="AG350" s="36"/>
      <c r="AH350" s="36"/>
      <c r="AI350" s="36"/>
      <c r="AJ350" s="36"/>
      <c r="AK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7"/>
      <c r="Z351" s="36"/>
      <c r="AA351" s="37"/>
      <c r="AB351" s="37"/>
      <c r="AC351" s="37"/>
      <c r="AD351" s="36"/>
      <c r="AE351" s="36"/>
      <c r="AF351" s="36"/>
      <c r="AG351" s="36"/>
      <c r="AH351" s="36"/>
      <c r="AI351" s="36"/>
      <c r="AJ351" s="36"/>
      <c r="AK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7"/>
      <c r="Z352" s="36"/>
      <c r="AA352" s="37"/>
      <c r="AB352" s="37"/>
      <c r="AC352" s="37"/>
      <c r="AD352" s="36"/>
      <c r="AE352" s="36"/>
      <c r="AF352" s="36"/>
      <c r="AG352" s="36"/>
      <c r="AH352" s="36"/>
      <c r="AI352" s="36"/>
      <c r="AJ352" s="36"/>
      <c r="AK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7"/>
      <c r="Z353" s="36"/>
      <c r="AA353" s="37"/>
      <c r="AB353" s="37"/>
      <c r="AC353" s="37"/>
      <c r="AD353" s="36"/>
      <c r="AE353" s="36"/>
      <c r="AF353" s="36"/>
      <c r="AG353" s="36"/>
      <c r="AH353" s="36"/>
      <c r="AI353" s="36"/>
      <c r="AJ353" s="36"/>
      <c r="AK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7"/>
      <c r="Z354" s="36"/>
      <c r="AA354" s="37"/>
      <c r="AB354" s="37"/>
      <c r="AC354" s="37"/>
      <c r="AD354" s="36"/>
      <c r="AE354" s="36"/>
      <c r="AF354" s="36"/>
      <c r="AG354" s="36"/>
      <c r="AH354" s="36"/>
      <c r="AI354" s="36"/>
      <c r="AJ354" s="36"/>
      <c r="AK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7"/>
      <c r="Z355" s="36"/>
      <c r="AA355" s="37"/>
      <c r="AB355" s="37"/>
      <c r="AC355" s="37"/>
      <c r="AD355" s="36"/>
      <c r="AE355" s="36"/>
      <c r="AF355" s="36"/>
      <c r="AG355" s="36"/>
      <c r="AH355" s="36"/>
      <c r="AI355" s="36"/>
      <c r="AJ355" s="36"/>
      <c r="AK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7"/>
      <c r="Z356" s="36"/>
      <c r="AA356" s="37"/>
      <c r="AB356" s="37"/>
      <c r="AC356" s="37"/>
      <c r="AD356" s="36"/>
      <c r="AE356" s="36"/>
      <c r="AF356" s="36"/>
      <c r="AG356" s="36"/>
      <c r="AH356" s="36"/>
      <c r="AI356" s="36"/>
      <c r="AJ356" s="36"/>
      <c r="AK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7"/>
      <c r="Z357" s="36"/>
      <c r="AA357" s="37"/>
      <c r="AB357" s="37"/>
      <c r="AC357" s="37"/>
      <c r="AD357" s="36"/>
      <c r="AE357" s="36"/>
      <c r="AF357" s="36"/>
      <c r="AG357" s="36"/>
      <c r="AH357" s="36"/>
      <c r="AI357" s="36"/>
      <c r="AJ357" s="36"/>
      <c r="AK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7"/>
      <c r="Z358" s="36"/>
      <c r="AA358" s="37"/>
      <c r="AB358" s="37"/>
      <c r="AC358" s="37"/>
      <c r="AD358" s="36"/>
      <c r="AE358" s="36"/>
      <c r="AF358" s="36"/>
      <c r="AG358" s="36"/>
      <c r="AH358" s="36"/>
      <c r="AI358" s="36"/>
      <c r="AJ358" s="36"/>
      <c r="AK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7"/>
      <c r="Z359" s="36"/>
      <c r="AA359" s="37"/>
      <c r="AB359" s="37"/>
      <c r="AC359" s="37"/>
      <c r="AD359" s="36"/>
      <c r="AE359" s="36"/>
      <c r="AF359" s="36"/>
      <c r="AG359" s="36"/>
      <c r="AH359" s="36"/>
      <c r="AI359" s="36"/>
      <c r="AJ359" s="36"/>
      <c r="AK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7"/>
      <c r="Z360" s="36"/>
      <c r="AA360" s="37"/>
      <c r="AB360" s="37"/>
      <c r="AC360" s="37"/>
      <c r="AD360" s="36"/>
      <c r="AE360" s="36"/>
      <c r="AF360" s="36"/>
      <c r="AG360" s="36"/>
      <c r="AH360" s="36"/>
      <c r="AI360" s="36"/>
      <c r="AJ360" s="36"/>
      <c r="AK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7"/>
      <c r="Z361" s="36"/>
      <c r="AA361" s="37"/>
      <c r="AB361" s="37"/>
      <c r="AC361" s="37"/>
      <c r="AD361" s="36"/>
      <c r="AE361" s="36"/>
      <c r="AF361" s="36"/>
      <c r="AG361" s="36"/>
      <c r="AH361" s="36"/>
      <c r="AI361" s="36"/>
      <c r="AJ361" s="36"/>
      <c r="AK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7"/>
      <c r="Z362" s="36"/>
      <c r="AA362" s="37"/>
      <c r="AB362" s="37"/>
      <c r="AC362" s="37"/>
      <c r="AD362" s="36"/>
      <c r="AE362" s="36"/>
      <c r="AF362" s="36"/>
      <c r="AG362" s="36"/>
      <c r="AH362" s="36"/>
      <c r="AI362" s="36"/>
      <c r="AJ362" s="36"/>
      <c r="AK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7"/>
      <c r="Z363" s="36"/>
      <c r="AA363" s="37"/>
      <c r="AB363" s="37"/>
      <c r="AC363" s="37"/>
      <c r="AD363" s="36"/>
      <c r="AE363" s="36"/>
      <c r="AF363" s="36"/>
      <c r="AG363" s="36"/>
      <c r="AH363" s="36"/>
      <c r="AI363" s="36"/>
      <c r="AJ363" s="36"/>
      <c r="AK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7"/>
      <c r="Z364" s="36"/>
      <c r="AA364" s="37"/>
      <c r="AB364" s="37"/>
      <c r="AC364" s="37"/>
      <c r="AD364" s="36"/>
      <c r="AE364" s="36"/>
      <c r="AF364" s="36"/>
      <c r="AG364" s="36"/>
      <c r="AH364" s="36"/>
      <c r="AI364" s="36"/>
      <c r="AJ364" s="36"/>
      <c r="AK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7"/>
      <c r="Z365" s="36"/>
      <c r="AA365" s="37"/>
      <c r="AB365" s="37"/>
      <c r="AC365" s="37"/>
      <c r="AD365" s="36"/>
      <c r="AE365" s="36"/>
      <c r="AF365" s="36"/>
      <c r="AG365" s="36"/>
      <c r="AH365" s="36"/>
      <c r="AI365" s="36"/>
      <c r="AJ365" s="36"/>
      <c r="AK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7"/>
      <c r="Z366" s="36"/>
      <c r="AA366" s="37"/>
      <c r="AB366" s="37"/>
      <c r="AC366" s="37"/>
      <c r="AD366" s="36"/>
      <c r="AE366" s="36"/>
      <c r="AF366" s="36"/>
      <c r="AG366" s="36"/>
      <c r="AH366" s="36"/>
      <c r="AI366" s="36"/>
      <c r="AJ366" s="36"/>
      <c r="AK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7"/>
      <c r="Z367" s="36"/>
      <c r="AA367" s="37"/>
      <c r="AB367" s="37"/>
      <c r="AC367" s="37"/>
      <c r="AD367" s="36"/>
      <c r="AE367" s="36"/>
      <c r="AF367" s="36"/>
      <c r="AG367" s="36"/>
      <c r="AH367" s="36"/>
      <c r="AI367" s="36"/>
      <c r="AJ367" s="36"/>
      <c r="AK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7"/>
      <c r="Z368" s="36"/>
      <c r="AA368" s="37"/>
      <c r="AB368" s="37"/>
      <c r="AC368" s="37"/>
      <c r="AD368" s="36"/>
      <c r="AE368" s="36"/>
      <c r="AF368" s="36"/>
      <c r="AG368" s="36"/>
      <c r="AH368" s="36"/>
      <c r="AI368" s="36"/>
      <c r="AJ368" s="36"/>
      <c r="AK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7"/>
      <c r="Z369" s="36"/>
      <c r="AA369" s="37"/>
      <c r="AB369" s="37"/>
      <c r="AC369" s="37"/>
      <c r="AD369" s="36"/>
      <c r="AE369" s="36"/>
      <c r="AF369" s="36"/>
      <c r="AG369" s="36"/>
      <c r="AH369" s="36"/>
      <c r="AI369" s="36"/>
      <c r="AJ369" s="36"/>
      <c r="AK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7"/>
      <c r="Z370" s="36"/>
      <c r="AA370" s="37"/>
      <c r="AB370" s="37"/>
      <c r="AC370" s="37"/>
      <c r="AD370" s="36"/>
      <c r="AE370" s="36"/>
      <c r="AF370" s="36"/>
      <c r="AG370" s="36"/>
      <c r="AH370" s="36"/>
      <c r="AI370" s="36"/>
      <c r="AJ370" s="36"/>
      <c r="AK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7"/>
      <c r="Z371" s="36"/>
      <c r="AA371" s="37"/>
      <c r="AB371" s="37"/>
      <c r="AC371" s="37"/>
      <c r="AD371" s="36"/>
      <c r="AE371" s="36"/>
      <c r="AF371" s="36"/>
      <c r="AG371" s="36"/>
      <c r="AH371" s="36"/>
      <c r="AI371" s="36"/>
      <c r="AJ371" s="36"/>
      <c r="AK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7"/>
      <c r="Z372" s="36"/>
      <c r="AA372" s="37"/>
      <c r="AB372" s="37"/>
      <c r="AC372" s="37"/>
      <c r="AD372" s="36"/>
      <c r="AE372" s="36"/>
      <c r="AF372" s="36"/>
      <c r="AG372" s="36"/>
      <c r="AH372" s="36"/>
      <c r="AI372" s="36"/>
      <c r="AJ372" s="36"/>
      <c r="AK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7"/>
      <c r="Z373" s="36"/>
      <c r="AA373" s="37"/>
      <c r="AB373" s="37"/>
      <c r="AC373" s="37"/>
      <c r="AD373" s="36"/>
      <c r="AE373" s="36"/>
      <c r="AF373" s="36"/>
      <c r="AG373" s="36"/>
      <c r="AH373" s="36"/>
      <c r="AI373" s="36"/>
      <c r="AJ373" s="36"/>
      <c r="AK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7"/>
      <c r="Z374" s="36"/>
      <c r="AA374" s="37"/>
      <c r="AB374" s="37"/>
      <c r="AC374" s="37"/>
      <c r="AD374" s="36"/>
      <c r="AE374" s="36"/>
      <c r="AF374" s="36"/>
      <c r="AG374" s="36"/>
      <c r="AH374" s="36"/>
      <c r="AI374" s="36"/>
      <c r="AJ374" s="36"/>
      <c r="AK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7"/>
      <c r="Z375" s="36"/>
      <c r="AA375" s="37"/>
      <c r="AB375" s="37"/>
      <c r="AC375" s="37"/>
      <c r="AD375" s="36"/>
      <c r="AE375" s="36"/>
      <c r="AF375" s="36"/>
      <c r="AG375" s="36"/>
      <c r="AH375" s="36"/>
      <c r="AI375" s="36"/>
      <c r="AJ375" s="36"/>
      <c r="AK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7"/>
      <c r="Z376" s="36"/>
      <c r="AA376" s="37"/>
      <c r="AB376" s="37"/>
      <c r="AC376" s="37"/>
      <c r="AD376" s="36"/>
      <c r="AE376" s="36"/>
      <c r="AF376" s="36"/>
      <c r="AG376" s="36"/>
      <c r="AH376" s="36"/>
      <c r="AI376" s="36"/>
      <c r="AJ376" s="36"/>
      <c r="AK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7"/>
      <c r="Z377" s="36"/>
      <c r="AA377" s="37"/>
      <c r="AB377" s="37"/>
      <c r="AC377" s="37"/>
      <c r="AD377" s="36"/>
      <c r="AE377" s="36"/>
      <c r="AF377" s="36"/>
      <c r="AG377" s="36"/>
      <c r="AH377" s="36"/>
      <c r="AI377" s="36"/>
      <c r="AJ377" s="36"/>
      <c r="AK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7"/>
      <c r="Z378" s="36"/>
      <c r="AA378" s="37"/>
      <c r="AB378" s="37"/>
      <c r="AC378" s="37"/>
      <c r="AD378" s="36"/>
      <c r="AE378" s="36"/>
      <c r="AF378" s="36"/>
      <c r="AG378" s="36"/>
      <c r="AH378" s="36"/>
      <c r="AI378" s="36"/>
      <c r="AJ378" s="36"/>
      <c r="AK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7"/>
      <c r="Z379" s="36"/>
      <c r="AA379" s="37"/>
      <c r="AB379" s="37"/>
      <c r="AC379" s="37"/>
      <c r="AD379" s="36"/>
      <c r="AE379" s="36"/>
      <c r="AF379" s="36"/>
      <c r="AG379" s="36"/>
      <c r="AH379" s="36"/>
      <c r="AI379" s="36"/>
      <c r="AJ379" s="36"/>
      <c r="AK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7"/>
      <c r="Z380" s="36"/>
      <c r="AA380" s="37"/>
      <c r="AB380" s="37"/>
      <c r="AC380" s="37"/>
      <c r="AD380" s="36"/>
      <c r="AE380" s="36"/>
      <c r="AF380" s="36"/>
      <c r="AG380" s="36"/>
      <c r="AH380" s="36"/>
      <c r="AI380" s="36"/>
      <c r="AJ380" s="36"/>
      <c r="AK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7"/>
      <c r="Z381" s="36"/>
      <c r="AA381" s="37"/>
      <c r="AB381" s="37"/>
      <c r="AC381" s="37"/>
      <c r="AD381" s="36"/>
      <c r="AE381" s="36"/>
      <c r="AF381" s="36"/>
      <c r="AG381" s="36"/>
      <c r="AH381" s="36"/>
      <c r="AI381" s="36"/>
      <c r="AJ381" s="36"/>
      <c r="AK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7"/>
      <c r="Z382" s="36"/>
      <c r="AA382" s="37"/>
      <c r="AB382" s="37"/>
      <c r="AC382" s="37"/>
      <c r="AD382" s="36"/>
      <c r="AE382" s="36"/>
      <c r="AF382" s="36"/>
      <c r="AG382" s="36"/>
      <c r="AH382" s="36"/>
      <c r="AI382" s="36"/>
      <c r="AJ382" s="36"/>
      <c r="AK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7"/>
      <c r="Z383" s="36"/>
      <c r="AA383" s="37"/>
      <c r="AB383" s="37"/>
      <c r="AC383" s="37"/>
      <c r="AD383" s="36"/>
      <c r="AE383" s="36"/>
      <c r="AF383" s="36"/>
      <c r="AG383" s="36"/>
      <c r="AH383" s="36"/>
      <c r="AI383" s="36"/>
      <c r="AJ383" s="36"/>
      <c r="AK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7"/>
      <c r="Z384" s="36"/>
      <c r="AA384" s="37"/>
      <c r="AB384" s="37"/>
      <c r="AC384" s="37"/>
      <c r="AD384" s="36"/>
      <c r="AE384" s="36"/>
      <c r="AF384" s="36"/>
      <c r="AG384" s="36"/>
      <c r="AH384" s="36"/>
      <c r="AI384" s="36"/>
      <c r="AJ384" s="36"/>
      <c r="AK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7"/>
      <c r="Z385" s="36"/>
      <c r="AA385" s="37"/>
      <c r="AB385" s="37"/>
      <c r="AC385" s="37"/>
      <c r="AD385" s="36"/>
      <c r="AE385" s="36"/>
      <c r="AF385" s="36"/>
      <c r="AG385" s="36"/>
      <c r="AH385" s="36"/>
      <c r="AI385" s="36"/>
      <c r="AJ385" s="36"/>
      <c r="AK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7"/>
      <c r="Z386" s="36"/>
      <c r="AA386" s="37"/>
      <c r="AB386" s="37"/>
      <c r="AC386" s="37"/>
      <c r="AD386" s="36"/>
      <c r="AE386" s="36"/>
      <c r="AF386" s="36"/>
      <c r="AG386" s="36"/>
      <c r="AH386" s="36"/>
      <c r="AI386" s="36"/>
      <c r="AJ386" s="36"/>
      <c r="AK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7"/>
      <c r="Z387" s="36"/>
      <c r="AA387" s="37"/>
      <c r="AB387" s="37"/>
      <c r="AC387" s="37"/>
      <c r="AD387" s="36"/>
      <c r="AE387" s="36"/>
      <c r="AF387" s="36"/>
      <c r="AG387" s="36"/>
      <c r="AH387" s="36"/>
      <c r="AI387" s="36"/>
      <c r="AJ387" s="36"/>
      <c r="AK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7"/>
      <c r="Z388" s="36"/>
      <c r="AA388" s="37"/>
      <c r="AB388" s="37"/>
      <c r="AC388" s="37"/>
      <c r="AD388" s="36"/>
      <c r="AE388" s="36"/>
      <c r="AF388" s="36"/>
      <c r="AG388" s="36"/>
      <c r="AH388" s="36"/>
      <c r="AI388" s="36"/>
      <c r="AJ388" s="36"/>
      <c r="AK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7"/>
      <c r="Z389" s="36"/>
      <c r="AA389" s="37"/>
      <c r="AB389" s="37"/>
      <c r="AC389" s="37"/>
      <c r="AD389" s="36"/>
      <c r="AE389" s="36"/>
      <c r="AF389" s="36"/>
      <c r="AG389" s="36"/>
      <c r="AH389" s="36"/>
      <c r="AI389" s="36"/>
      <c r="AJ389" s="36"/>
      <c r="AK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7"/>
      <c r="Z390" s="36"/>
      <c r="AA390" s="37"/>
      <c r="AB390" s="37"/>
      <c r="AC390" s="37"/>
      <c r="AD390" s="36"/>
      <c r="AE390" s="36"/>
      <c r="AF390" s="36"/>
      <c r="AG390" s="36"/>
      <c r="AH390" s="36"/>
      <c r="AI390" s="36"/>
      <c r="AJ390" s="36"/>
      <c r="AK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7"/>
      <c r="Z391" s="36"/>
      <c r="AA391" s="37"/>
      <c r="AB391" s="37"/>
      <c r="AC391" s="37"/>
      <c r="AD391" s="36"/>
      <c r="AE391" s="36"/>
      <c r="AF391" s="36"/>
      <c r="AG391" s="36"/>
      <c r="AH391" s="36"/>
      <c r="AI391" s="36"/>
      <c r="AJ391" s="36"/>
      <c r="AK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7"/>
      <c r="Z392" s="36"/>
      <c r="AA392" s="37"/>
      <c r="AB392" s="37"/>
      <c r="AC392" s="37"/>
      <c r="AD392" s="36"/>
      <c r="AE392" s="36"/>
      <c r="AF392" s="36"/>
      <c r="AG392" s="36"/>
      <c r="AH392" s="36"/>
      <c r="AI392" s="36"/>
      <c r="AJ392" s="36"/>
      <c r="AK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7"/>
      <c r="Z393" s="36"/>
      <c r="AA393" s="37"/>
      <c r="AB393" s="37"/>
      <c r="AC393" s="37"/>
      <c r="AD393" s="36"/>
      <c r="AE393" s="36"/>
      <c r="AF393" s="36"/>
      <c r="AG393" s="36"/>
      <c r="AH393" s="36"/>
      <c r="AI393" s="36"/>
      <c r="AJ393" s="36"/>
      <c r="AK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7"/>
      <c r="Z394" s="36"/>
      <c r="AA394" s="37"/>
      <c r="AB394" s="37"/>
      <c r="AC394" s="37"/>
      <c r="AD394" s="36"/>
      <c r="AE394" s="36"/>
      <c r="AF394" s="36"/>
      <c r="AG394" s="36"/>
      <c r="AH394" s="36"/>
      <c r="AI394" s="36"/>
      <c r="AJ394" s="36"/>
      <c r="AK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7"/>
      <c r="Z395" s="36"/>
      <c r="AA395" s="37"/>
      <c r="AB395" s="37"/>
      <c r="AC395" s="37"/>
      <c r="AD395" s="36"/>
      <c r="AE395" s="36"/>
      <c r="AF395" s="36"/>
      <c r="AG395" s="36"/>
      <c r="AH395" s="36"/>
      <c r="AI395" s="36"/>
      <c r="AJ395" s="36"/>
      <c r="AK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7"/>
      <c r="Z396" s="36"/>
      <c r="AA396" s="37"/>
      <c r="AB396" s="37"/>
      <c r="AC396" s="37"/>
      <c r="AD396" s="36"/>
      <c r="AE396" s="36"/>
      <c r="AF396" s="36"/>
      <c r="AG396" s="36"/>
      <c r="AH396" s="36"/>
      <c r="AI396" s="36"/>
      <c r="AJ396" s="36"/>
      <c r="AK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7"/>
      <c r="Z397" s="36"/>
      <c r="AA397" s="37"/>
      <c r="AB397" s="37"/>
      <c r="AC397" s="37"/>
      <c r="AD397" s="36"/>
      <c r="AE397" s="36"/>
      <c r="AF397" s="36"/>
      <c r="AG397" s="36"/>
      <c r="AH397" s="36"/>
      <c r="AI397" s="36"/>
      <c r="AJ397" s="36"/>
      <c r="AK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7"/>
      <c r="Z398" s="36"/>
      <c r="AA398" s="37"/>
      <c r="AB398" s="37"/>
      <c r="AC398" s="37"/>
      <c r="AD398" s="36"/>
      <c r="AE398" s="36"/>
      <c r="AF398" s="36"/>
      <c r="AG398" s="36"/>
      <c r="AH398" s="36"/>
      <c r="AI398" s="36"/>
      <c r="AJ398" s="36"/>
      <c r="AK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7"/>
      <c r="Z399" s="36"/>
      <c r="AA399" s="37"/>
      <c r="AB399" s="37"/>
      <c r="AC399" s="37"/>
      <c r="AD399" s="36"/>
      <c r="AE399" s="36"/>
      <c r="AF399" s="36"/>
      <c r="AG399" s="36"/>
      <c r="AH399" s="36"/>
      <c r="AI399" s="36"/>
      <c r="AJ399" s="36"/>
      <c r="AK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7"/>
      <c r="Z400" s="36"/>
      <c r="AA400" s="37"/>
      <c r="AB400" s="37"/>
      <c r="AC400" s="37"/>
      <c r="AD400" s="36"/>
      <c r="AE400" s="36"/>
      <c r="AF400" s="36"/>
      <c r="AG400" s="36"/>
      <c r="AH400" s="36"/>
      <c r="AI400" s="36"/>
      <c r="AJ400" s="36"/>
      <c r="AK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7"/>
      <c r="Z401" s="36"/>
      <c r="AA401" s="37"/>
      <c r="AB401" s="37"/>
      <c r="AC401" s="37"/>
      <c r="AD401" s="36"/>
      <c r="AE401" s="36"/>
      <c r="AF401" s="36"/>
      <c r="AG401" s="36"/>
      <c r="AH401" s="36"/>
      <c r="AI401" s="36"/>
      <c r="AJ401" s="36"/>
      <c r="AK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7"/>
      <c r="Z402" s="36"/>
      <c r="AA402" s="37"/>
      <c r="AB402" s="37"/>
      <c r="AC402" s="37"/>
      <c r="AD402" s="36"/>
      <c r="AE402" s="36"/>
      <c r="AF402" s="36"/>
      <c r="AG402" s="36"/>
      <c r="AH402" s="36"/>
      <c r="AI402" s="36"/>
      <c r="AJ402" s="36"/>
      <c r="AK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7"/>
      <c r="Z403" s="36"/>
      <c r="AA403" s="37"/>
      <c r="AB403" s="37"/>
      <c r="AC403" s="37"/>
      <c r="AD403" s="36"/>
      <c r="AE403" s="36"/>
      <c r="AF403" s="36"/>
      <c r="AG403" s="36"/>
      <c r="AH403" s="36"/>
      <c r="AI403" s="36"/>
      <c r="AJ403" s="36"/>
      <c r="AK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7"/>
      <c r="Z404" s="36"/>
      <c r="AA404" s="37"/>
      <c r="AB404" s="37"/>
      <c r="AC404" s="37"/>
      <c r="AD404" s="36"/>
      <c r="AE404" s="36"/>
      <c r="AF404" s="36"/>
      <c r="AG404" s="36"/>
      <c r="AH404" s="36"/>
      <c r="AI404" s="36"/>
      <c r="AJ404" s="36"/>
      <c r="AK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7"/>
      <c r="Z405" s="36"/>
      <c r="AA405" s="37"/>
      <c r="AB405" s="37"/>
      <c r="AC405" s="37"/>
      <c r="AD405" s="36"/>
      <c r="AE405" s="36"/>
      <c r="AF405" s="36"/>
      <c r="AG405" s="36"/>
      <c r="AH405" s="36"/>
      <c r="AI405" s="36"/>
      <c r="AJ405" s="36"/>
      <c r="AK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7"/>
      <c r="Z406" s="36"/>
      <c r="AA406" s="37"/>
      <c r="AB406" s="37"/>
      <c r="AC406" s="37"/>
      <c r="AD406" s="36"/>
      <c r="AE406" s="36"/>
      <c r="AF406" s="36"/>
      <c r="AG406" s="36"/>
      <c r="AH406" s="36"/>
      <c r="AI406" s="36"/>
      <c r="AJ406" s="36"/>
      <c r="AK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7"/>
      <c r="Z407" s="36"/>
      <c r="AA407" s="37"/>
      <c r="AB407" s="37"/>
      <c r="AC407" s="37"/>
      <c r="AD407" s="36"/>
      <c r="AE407" s="36"/>
      <c r="AF407" s="36"/>
      <c r="AG407" s="36"/>
      <c r="AH407" s="36"/>
      <c r="AI407" s="36"/>
      <c r="AJ407" s="36"/>
      <c r="AK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7"/>
      <c r="Z408" s="36"/>
      <c r="AA408" s="37"/>
      <c r="AB408" s="37"/>
      <c r="AC408" s="37"/>
      <c r="AD408" s="36"/>
      <c r="AE408" s="36"/>
      <c r="AF408" s="36"/>
      <c r="AG408" s="36"/>
      <c r="AH408" s="36"/>
      <c r="AI408" s="36"/>
      <c r="AJ408" s="36"/>
      <c r="AK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7"/>
      <c r="Z409" s="36"/>
      <c r="AA409" s="37"/>
      <c r="AB409" s="37"/>
      <c r="AC409" s="37"/>
      <c r="AD409" s="36"/>
      <c r="AE409" s="36"/>
      <c r="AF409" s="36"/>
      <c r="AG409" s="36"/>
      <c r="AH409" s="36"/>
      <c r="AI409" s="36"/>
      <c r="AJ409" s="36"/>
      <c r="AK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7"/>
      <c r="Z410" s="36"/>
      <c r="AA410" s="37"/>
      <c r="AB410" s="37"/>
      <c r="AC410" s="37"/>
      <c r="AD410" s="36"/>
      <c r="AE410" s="36"/>
      <c r="AF410" s="36"/>
      <c r="AG410" s="36"/>
      <c r="AH410" s="36"/>
      <c r="AI410" s="36"/>
      <c r="AJ410" s="36"/>
      <c r="AK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7"/>
      <c r="Z411" s="36"/>
      <c r="AA411" s="37"/>
      <c r="AB411" s="37"/>
      <c r="AC411" s="37"/>
      <c r="AD411" s="36"/>
      <c r="AE411" s="36"/>
      <c r="AF411" s="36"/>
      <c r="AG411" s="36"/>
      <c r="AH411" s="36"/>
      <c r="AI411" s="36"/>
      <c r="AJ411" s="36"/>
      <c r="AK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7"/>
      <c r="Z412" s="36"/>
      <c r="AA412" s="37"/>
      <c r="AB412" s="37"/>
      <c r="AC412" s="37"/>
      <c r="AD412" s="36"/>
      <c r="AE412" s="36"/>
      <c r="AF412" s="36"/>
      <c r="AG412" s="36"/>
      <c r="AH412" s="36"/>
      <c r="AI412" s="36"/>
      <c r="AJ412" s="36"/>
      <c r="AK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7"/>
      <c r="Z413" s="36"/>
      <c r="AA413" s="37"/>
      <c r="AB413" s="37"/>
      <c r="AC413" s="37"/>
      <c r="AD413" s="36"/>
      <c r="AE413" s="36"/>
      <c r="AF413" s="36"/>
      <c r="AG413" s="36"/>
      <c r="AH413" s="36"/>
      <c r="AI413" s="36"/>
      <c r="AJ413" s="36"/>
      <c r="AK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7"/>
      <c r="Z414" s="36"/>
      <c r="AA414" s="37"/>
      <c r="AB414" s="37"/>
      <c r="AC414" s="37"/>
      <c r="AD414" s="36"/>
      <c r="AE414" s="36"/>
      <c r="AF414" s="36"/>
      <c r="AG414" s="36"/>
      <c r="AH414" s="36"/>
      <c r="AI414" s="36"/>
      <c r="AJ414" s="36"/>
      <c r="AK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7"/>
      <c r="Z415" s="36"/>
      <c r="AA415" s="37"/>
      <c r="AB415" s="37"/>
      <c r="AC415" s="37"/>
      <c r="AD415" s="36"/>
      <c r="AE415" s="36"/>
      <c r="AF415" s="36"/>
      <c r="AG415" s="36"/>
      <c r="AH415" s="36"/>
      <c r="AI415" s="36"/>
      <c r="AJ415" s="36"/>
      <c r="AK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7"/>
      <c r="Z416" s="36"/>
      <c r="AA416" s="37"/>
      <c r="AB416" s="37"/>
      <c r="AC416" s="37"/>
      <c r="AD416" s="36"/>
      <c r="AE416" s="36"/>
      <c r="AF416" s="36"/>
      <c r="AG416" s="36"/>
      <c r="AH416" s="36"/>
      <c r="AI416" s="36"/>
      <c r="AJ416" s="36"/>
      <c r="AK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7"/>
      <c r="Z417" s="36"/>
      <c r="AA417" s="37"/>
      <c r="AB417" s="37"/>
      <c r="AC417" s="37"/>
      <c r="AD417" s="36"/>
      <c r="AE417" s="36"/>
      <c r="AF417" s="36"/>
      <c r="AG417" s="36"/>
      <c r="AH417" s="36"/>
      <c r="AI417" s="36"/>
      <c r="AJ417" s="36"/>
      <c r="AK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7"/>
      <c r="Z418" s="36"/>
      <c r="AA418" s="37"/>
      <c r="AB418" s="37"/>
      <c r="AC418" s="37"/>
      <c r="AD418" s="36"/>
      <c r="AE418" s="36"/>
      <c r="AF418" s="36"/>
      <c r="AG418" s="36"/>
      <c r="AH418" s="36"/>
      <c r="AI418" s="36"/>
      <c r="AJ418" s="36"/>
      <c r="AK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7"/>
      <c r="Z419" s="36"/>
      <c r="AA419" s="37"/>
      <c r="AB419" s="37"/>
      <c r="AC419" s="37"/>
      <c r="AD419" s="36"/>
      <c r="AE419" s="36"/>
      <c r="AF419" s="36"/>
      <c r="AG419" s="36"/>
      <c r="AH419" s="36"/>
      <c r="AI419" s="36"/>
      <c r="AJ419" s="36"/>
      <c r="AK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7"/>
      <c r="Z420" s="36"/>
      <c r="AA420" s="37"/>
      <c r="AB420" s="37"/>
      <c r="AC420" s="37"/>
      <c r="AD420" s="36"/>
      <c r="AE420" s="36"/>
      <c r="AF420" s="36"/>
      <c r="AG420" s="36"/>
      <c r="AH420" s="36"/>
      <c r="AI420" s="36"/>
      <c r="AJ420" s="36"/>
      <c r="AK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7"/>
      <c r="Z421" s="36"/>
      <c r="AA421" s="37"/>
      <c r="AB421" s="37"/>
      <c r="AC421" s="37"/>
      <c r="AD421" s="36"/>
      <c r="AE421" s="36"/>
      <c r="AF421" s="36"/>
      <c r="AG421" s="36"/>
      <c r="AH421" s="36"/>
      <c r="AI421" s="36"/>
      <c r="AJ421" s="36"/>
      <c r="AK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7"/>
      <c r="Z422" s="36"/>
      <c r="AA422" s="37"/>
      <c r="AB422" s="37"/>
      <c r="AC422" s="37"/>
      <c r="AD422" s="36"/>
      <c r="AE422" s="36"/>
      <c r="AF422" s="36"/>
      <c r="AG422" s="36"/>
      <c r="AH422" s="36"/>
      <c r="AI422" s="36"/>
      <c r="AJ422" s="36"/>
      <c r="AK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7"/>
      <c r="Z423" s="36"/>
      <c r="AA423" s="37"/>
      <c r="AB423" s="37"/>
      <c r="AC423" s="37"/>
      <c r="AD423" s="36"/>
      <c r="AE423" s="36"/>
      <c r="AF423" s="36"/>
      <c r="AG423" s="36"/>
      <c r="AH423" s="36"/>
      <c r="AI423" s="36"/>
      <c r="AJ423" s="36"/>
      <c r="AK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7"/>
      <c r="Z424" s="36"/>
      <c r="AA424" s="37"/>
      <c r="AB424" s="37"/>
      <c r="AC424" s="37"/>
      <c r="AD424" s="36"/>
      <c r="AE424" s="36"/>
      <c r="AF424" s="36"/>
      <c r="AG424" s="36"/>
      <c r="AH424" s="36"/>
      <c r="AI424" s="36"/>
      <c r="AJ424" s="36"/>
      <c r="AK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7"/>
      <c r="Z425" s="36"/>
      <c r="AA425" s="37"/>
      <c r="AB425" s="37"/>
      <c r="AC425" s="37"/>
      <c r="AD425" s="36"/>
      <c r="AE425" s="36"/>
      <c r="AF425" s="36"/>
      <c r="AG425" s="36"/>
      <c r="AH425" s="36"/>
      <c r="AI425" s="36"/>
      <c r="AJ425" s="36"/>
      <c r="AK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7"/>
      <c r="Z426" s="36"/>
      <c r="AA426" s="37"/>
      <c r="AB426" s="37"/>
      <c r="AC426" s="37"/>
      <c r="AD426" s="36"/>
      <c r="AE426" s="36"/>
      <c r="AF426" s="36"/>
      <c r="AG426" s="36"/>
      <c r="AH426" s="36"/>
      <c r="AI426" s="36"/>
      <c r="AJ426" s="36"/>
      <c r="AK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7"/>
      <c r="Z427" s="36"/>
      <c r="AA427" s="37"/>
      <c r="AB427" s="37"/>
      <c r="AC427" s="37"/>
      <c r="AD427" s="36"/>
      <c r="AE427" s="36"/>
      <c r="AF427" s="36"/>
      <c r="AG427" s="36"/>
      <c r="AH427" s="36"/>
      <c r="AI427" s="36"/>
      <c r="AJ427" s="36"/>
      <c r="AK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7"/>
      <c r="Z428" s="36"/>
      <c r="AA428" s="37"/>
      <c r="AB428" s="37"/>
      <c r="AC428" s="37"/>
      <c r="AD428" s="36"/>
      <c r="AE428" s="36"/>
      <c r="AF428" s="36"/>
      <c r="AG428" s="36"/>
      <c r="AH428" s="36"/>
      <c r="AI428" s="36"/>
      <c r="AJ428" s="36"/>
      <c r="AK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7"/>
      <c r="Z429" s="36"/>
      <c r="AA429" s="37"/>
      <c r="AB429" s="37"/>
      <c r="AC429" s="37"/>
      <c r="AD429" s="36"/>
      <c r="AE429" s="36"/>
      <c r="AF429" s="36"/>
      <c r="AG429" s="36"/>
      <c r="AH429" s="36"/>
      <c r="AI429" s="36"/>
      <c r="AJ429" s="36"/>
      <c r="AK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7"/>
      <c r="Z430" s="36"/>
      <c r="AA430" s="37"/>
      <c r="AB430" s="37"/>
      <c r="AC430" s="37"/>
      <c r="AD430" s="36"/>
      <c r="AE430" s="36"/>
      <c r="AF430" s="36"/>
      <c r="AG430" s="36"/>
      <c r="AH430" s="36"/>
      <c r="AI430" s="36"/>
      <c r="AJ430" s="36"/>
      <c r="AK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7"/>
      <c r="Z431" s="36"/>
      <c r="AA431" s="37"/>
      <c r="AB431" s="37"/>
      <c r="AC431" s="37"/>
      <c r="AD431" s="36"/>
      <c r="AE431" s="36"/>
      <c r="AF431" s="36"/>
      <c r="AG431" s="36"/>
      <c r="AH431" s="36"/>
      <c r="AI431" s="36"/>
      <c r="AJ431" s="36"/>
      <c r="AK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7"/>
      <c r="Z432" s="36"/>
      <c r="AA432" s="37"/>
      <c r="AB432" s="37"/>
      <c r="AC432" s="37"/>
      <c r="AD432" s="36"/>
      <c r="AE432" s="36"/>
      <c r="AF432" s="36"/>
      <c r="AG432" s="36"/>
      <c r="AH432" s="36"/>
      <c r="AI432" s="36"/>
      <c r="AJ432" s="36"/>
      <c r="AK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7"/>
      <c r="Z433" s="36"/>
      <c r="AA433" s="37"/>
      <c r="AB433" s="37"/>
      <c r="AC433" s="37"/>
      <c r="AD433" s="36"/>
      <c r="AE433" s="36"/>
      <c r="AF433" s="36"/>
      <c r="AG433" s="36"/>
      <c r="AH433" s="36"/>
      <c r="AI433" s="36"/>
      <c r="AJ433" s="36"/>
      <c r="AK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7"/>
      <c r="Z434" s="36"/>
      <c r="AA434" s="37"/>
      <c r="AB434" s="37"/>
      <c r="AC434" s="37"/>
      <c r="AD434" s="36"/>
      <c r="AE434" s="36"/>
      <c r="AF434" s="36"/>
      <c r="AG434" s="36"/>
      <c r="AH434" s="36"/>
      <c r="AI434" s="36"/>
      <c r="AJ434" s="36"/>
      <c r="AK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7"/>
      <c r="Z435" s="36"/>
      <c r="AA435" s="37"/>
      <c r="AB435" s="37"/>
      <c r="AC435" s="37"/>
      <c r="AD435" s="36"/>
      <c r="AE435" s="36"/>
      <c r="AF435" s="36"/>
      <c r="AG435" s="36"/>
      <c r="AH435" s="36"/>
      <c r="AI435" s="36"/>
      <c r="AJ435" s="36"/>
      <c r="AK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7"/>
      <c r="Z436" s="36"/>
      <c r="AA436" s="37"/>
      <c r="AB436" s="37"/>
      <c r="AC436" s="37"/>
      <c r="AD436" s="36"/>
      <c r="AE436" s="36"/>
      <c r="AF436" s="36"/>
      <c r="AG436" s="36"/>
      <c r="AH436" s="36"/>
      <c r="AI436" s="36"/>
      <c r="AJ436" s="36"/>
      <c r="AK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7"/>
      <c r="Z437" s="36"/>
      <c r="AA437" s="37"/>
      <c r="AB437" s="37"/>
      <c r="AC437" s="37"/>
      <c r="AD437" s="36"/>
      <c r="AE437" s="36"/>
      <c r="AF437" s="36"/>
      <c r="AG437" s="36"/>
      <c r="AH437" s="36"/>
      <c r="AI437" s="36"/>
      <c r="AJ437" s="36"/>
      <c r="AK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7"/>
      <c r="Z438" s="36"/>
      <c r="AA438" s="37"/>
      <c r="AB438" s="37"/>
      <c r="AC438" s="37"/>
      <c r="AD438" s="36"/>
      <c r="AE438" s="36"/>
      <c r="AF438" s="36"/>
      <c r="AG438" s="36"/>
      <c r="AH438" s="36"/>
      <c r="AI438" s="36"/>
      <c r="AJ438" s="36"/>
      <c r="AK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7"/>
      <c r="Z439" s="36"/>
      <c r="AA439" s="37"/>
      <c r="AB439" s="37"/>
      <c r="AC439" s="37"/>
      <c r="AD439" s="36"/>
      <c r="AE439" s="36"/>
      <c r="AF439" s="36"/>
      <c r="AG439" s="36"/>
      <c r="AH439" s="36"/>
      <c r="AI439" s="36"/>
      <c r="AJ439" s="36"/>
      <c r="AK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7"/>
      <c r="Z440" s="36"/>
      <c r="AA440" s="37"/>
      <c r="AB440" s="37"/>
      <c r="AC440" s="37"/>
      <c r="AD440" s="36"/>
      <c r="AE440" s="36"/>
      <c r="AF440" s="36"/>
      <c r="AG440" s="36"/>
      <c r="AH440" s="36"/>
      <c r="AI440" s="36"/>
      <c r="AJ440" s="36"/>
      <c r="AK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7"/>
      <c r="Z441" s="36"/>
      <c r="AA441" s="37"/>
      <c r="AB441" s="37"/>
      <c r="AC441" s="37"/>
      <c r="AD441" s="36"/>
      <c r="AE441" s="36"/>
      <c r="AF441" s="36"/>
      <c r="AG441" s="36"/>
      <c r="AH441" s="36"/>
      <c r="AI441" s="36"/>
      <c r="AJ441" s="36"/>
      <c r="AK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7"/>
      <c r="Z442" s="36"/>
      <c r="AA442" s="37"/>
      <c r="AB442" s="37"/>
      <c r="AC442" s="37"/>
      <c r="AD442" s="36"/>
      <c r="AE442" s="36"/>
      <c r="AF442" s="36"/>
      <c r="AG442" s="36"/>
      <c r="AH442" s="36"/>
      <c r="AI442" s="36"/>
      <c r="AJ442" s="36"/>
      <c r="AK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7"/>
      <c r="Z443" s="36"/>
      <c r="AA443" s="37"/>
      <c r="AB443" s="37"/>
      <c r="AC443" s="37"/>
      <c r="AD443" s="36"/>
      <c r="AE443" s="36"/>
      <c r="AF443" s="36"/>
      <c r="AG443" s="36"/>
      <c r="AH443" s="36"/>
      <c r="AI443" s="36"/>
      <c r="AJ443" s="36"/>
      <c r="AK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7"/>
      <c r="Z444" s="36"/>
      <c r="AA444" s="37"/>
      <c r="AB444" s="37"/>
      <c r="AC444" s="37"/>
      <c r="AD444" s="36"/>
      <c r="AE444" s="36"/>
      <c r="AF444" s="36"/>
      <c r="AG444" s="36"/>
      <c r="AH444" s="36"/>
      <c r="AI444" s="36"/>
      <c r="AJ444" s="36"/>
      <c r="AK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7"/>
      <c r="Z445" s="36"/>
      <c r="AA445" s="37"/>
      <c r="AB445" s="37"/>
      <c r="AC445" s="37"/>
      <c r="AD445" s="36"/>
      <c r="AE445" s="36"/>
      <c r="AF445" s="36"/>
      <c r="AG445" s="36"/>
      <c r="AH445" s="36"/>
      <c r="AI445" s="36"/>
      <c r="AJ445" s="36"/>
      <c r="AK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7"/>
      <c r="Z446" s="36"/>
      <c r="AA446" s="37"/>
      <c r="AB446" s="37"/>
      <c r="AC446" s="37"/>
      <c r="AD446" s="36"/>
      <c r="AE446" s="36"/>
      <c r="AF446" s="36"/>
      <c r="AG446" s="36"/>
      <c r="AH446" s="36"/>
      <c r="AI446" s="36"/>
      <c r="AJ446" s="36"/>
      <c r="AK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7"/>
      <c r="Z447" s="36"/>
      <c r="AA447" s="37"/>
      <c r="AB447" s="37"/>
      <c r="AC447" s="37"/>
      <c r="AD447" s="36"/>
      <c r="AE447" s="36"/>
      <c r="AF447" s="36"/>
      <c r="AG447" s="36"/>
      <c r="AH447" s="36"/>
      <c r="AI447" s="36"/>
      <c r="AJ447" s="36"/>
      <c r="AK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7"/>
      <c r="Z448" s="36"/>
      <c r="AA448" s="37"/>
      <c r="AB448" s="37"/>
      <c r="AC448" s="37"/>
      <c r="AD448" s="36"/>
      <c r="AE448" s="36"/>
      <c r="AF448" s="36"/>
      <c r="AG448" s="36"/>
      <c r="AH448" s="36"/>
      <c r="AI448" s="36"/>
      <c r="AJ448" s="36"/>
      <c r="AK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7"/>
      <c r="Z449" s="36"/>
      <c r="AA449" s="37"/>
      <c r="AB449" s="37"/>
      <c r="AC449" s="37"/>
      <c r="AD449" s="36"/>
      <c r="AE449" s="36"/>
      <c r="AF449" s="36"/>
      <c r="AG449" s="36"/>
      <c r="AH449" s="36"/>
      <c r="AI449" s="36"/>
      <c r="AJ449" s="36"/>
      <c r="AK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7"/>
      <c r="Z450" s="36"/>
      <c r="AA450" s="37"/>
      <c r="AB450" s="37"/>
      <c r="AC450" s="37"/>
      <c r="AD450" s="36"/>
      <c r="AE450" s="36"/>
      <c r="AF450" s="36"/>
      <c r="AG450" s="36"/>
      <c r="AH450" s="36"/>
      <c r="AI450" s="36"/>
      <c r="AJ450" s="36"/>
      <c r="AK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7"/>
      <c r="Z451" s="36"/>
      <c r="AA451" s="37"/>
      <c r="AB451" s="37"/>
      <c r="AC451" s="37"/>
      <c r="AD451" s="36"/>
      <c r="AE451" s="36"/>
      <c r="AF451" s="36"/>
      <c r="AG451" s="36"/>
      <c r="AH451" s="36"/>
      <c r="AI451" s="36"/>
      <c r="AJ451" s="36"/>
      <c r="AK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7"/>
      <c r="Z452" s="36"/>
      <c r="AA452" s="37"/>
      <c r="AB452" s="37"/>
      <c r="AC452" s="37"/>
      <c r="AD452" s="36"/>
      <c r="AE452" s="36"/>
      <c r="AF452" s="36"/>
      <c r="AG452" s="36"/>
      <c r="AH452" s="36"/>
      <c r="AI452" s="36"/>
      <c r="AJ452" s="36"/>
      <c r="AK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7"/>
      <c r="Z453" s="36"/>
      <c r="AA453" s="37"/>
      <c r="AB453" s="37"/>
      <c r="AC453" s="37"/>
      <c r="AD453" s="36"/>
      <c r="AE453" s="36"/>
      <c r="AF453" s="36"/>
      <c r="AG453" s="36"/>
      <c r="AH453" s="36"/>
      <c r="AI453" s="36"/>
      <c r="AJ453" s="36"/>
      <c r="AK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7"/>
      <c r="Z454" s="36"/>
      <c r="AA454" s="37"/>
      <c r="AB454" s="37"/>
      <c r="AC454" s="37"/>
      <c r="AD454" s="36"/>
      <c r="AE454" s="36"/>
      <c r="AF454" s="36"/>
      <c r="AG454" s="36"/>
      <c r="AH454" s="36"/>
      <c r="AI454" s="36"/>
      <c r="AJ454" s="36"/>
      <c r="AK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7"/>
      <c r="Z455" s="36"/>
      <c r="AA455" s="37"/>
      <c r="AB455" s="37"/>
      <c r="AC455" s="37"/>
      <c r="AD455" s="36"/>
      <c r="AE455" s="36"/>
      <c r="AF455" s="36"/>
      <c r="AG455" s="36"/>
      <c r="AH455" s="36"/>
      <c r="AI455" s="36"/>
      <c r="AJ455" s="36"/>
      <c r="AK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7"/>
      <c r="Z456" s="36"/>
      <c r="AA456" s="37"/>
      <c r="AB456" s="37"/>
      <c r="AC456" s="37"/>
      <c r="AD456" s="36"/>
      <c r="AE456" s="36"/>
      <c r="AF456" s="36"/>
      <c r="AG456" s="36"/>
      <c r="AH456" s="36"/>
      <c r="AI456" s="36"/>
      <c r="AJ456" s="36"/>
      <c r="AK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7"/>
      <c r="Z457" s="36"/>
      <c r="AA457" s="37"/>
      <c r="AB457" s="37"/>
      <c r="AC457" s="37"/>
      <c r="AD457" s="36"/>
      <c r="AE457" s="36"/>
      <c r="AF457" s="36"/>
      <c r="AG457" s="36"/>
      <c r="AH457" s="36"/>
      <c r="AI457" s="36"/>
      <c r="AJ457" s="36"/>
      <c r="AK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7"/>
      <c r="Z458" s="36"/>
      <c r="AA458" s="37"/>
      <c r="AB458" s="37"/>
      <c r="AC458" s="37"/>
      <c r="AD458" s="36"/>
      <c r="AE458" s="36"/>
      <c r="AF458" s="36"/>
      <c r="AG458" s="36"/>
      <c r="AH458" s="36"/>
      <c r="AI458" s="36"/>
      <c r="AJ458" s="36"/>
      <c r="AK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7"/>
      <c r="Z459" s="36"/>
      <c r="AA459" s="37"/>
      <c r="AB459" s="37"/>
      <c r="AC459" s="37"/>
      <c r="AD459" s="36"/>
      <c r="AE459" s="36"/>
      <c r="AF459" s="36"/>
      <c r="AG459" s="36"/>
      <c r="AH459" s="36"/>
      <c r="AI459" s="36"/>
      <c r="AJ459" s="36"/>
      <c r="AK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7"/>
      <c r="Z460" s="36"/>
      <c r="AA460" s="37"/>
      <c r="AB460" s="37"/>
      <c r="AC460" s="37"/>
      <c r="AD460" s="36"/>
      <c r="AE460" s="36"/>
      <c r="AF460" s="36"/>
      <c r="AG460" s="36"/>
      <c r="AH460" s="36"/>
      <c r="AI460" s="36"/>
      <c r="AJ460" s="36"/>
      <c r="AK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7"/>
      <c r="Z461" s="36"/>
      <c r="AA461" s="37"/>
      <c r="AB461" s="37"/>
      <c r="AC461" s="37"/>
      <c r="AD461" s="36"/>
      <c r="AE461" s="36"/>
      <c r="AF461" s="36"/>
      <c r="AG461" s="36"/>
      <c r="AH461" s="36"/>
      <c r="AI461" s="36"/>
      <c r="AJ461" s="36"/>
      <c r="AK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7"/>
      <c r="Z462" s="36"/>
      <c r="AA462" s="37"/>
      <c r="AB462" s="37"/>
      <c r="AC462" s="37"/>
      <c r="AD462" s="36"/>
      <c r="AE462" s="36"/>
      <c r="AF462" s="36"/>
      <c r="AG462" s="36"/>
      <c r="AH462" s="36"/>
      <c r="AI462" s="36"/>
      <c r="AJ462" s="36"/>
      <c r="AK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7"/>
      <c r="Z463" s="36"/>
      <c r="AA463" s="37"/>
      <c r="AB463" s="37"/>
      <c r="AC463" s="37"/>
      <c r="AD463" s="36"/>
      <c r="AE463" s="36"/>
      <c r="AF463" s="36"/>
      <c r="AG463" s="36"/>
      <c r="AH463" s="36"/>
      <c r="AI463" s="36"/>
      <c r="AJ463" s="36"/>
      <c r="AK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7"/>
      <c r="Z464" s="36"/>
      <c r="AA464" s="37"/>
      <c r="AB464" s="37"/>
      <c r="AC464" s="37"/>
      <c r="AD464" s="36"/>
      <c r="AE464" s="36"/>
      <c r="AF464" s="36"/>
      <c r="AG464" s="36"/>
      <c r="AH464" s="36"/>
      <c r="AI464" s="36"/>
      <c r="AJ464" s="36"/>
      <c r="AK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7"/>
      <c r="Z465" s="36"/>
      <c r="AA465" s="37"/>
      <c r="AB465" s="37"/>
      <c r="AC465" s="37"/>
      <c r="AD465" s="36"/>
      <c r="AE465" s="36"/>
      <c r="AF465" s="36"/>
      <c r="AG465" s="36"/>
      <c r="AH465" s="36"/>
      <c r="AI465" s="36"/>
      <c r="AJ465" s="36"/>
      <c r="AK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7"/>
      <c r="Z466" s="36"/>
      <c r="AA466" s="37"/>
      <c r="AB466" s="37"/>
      <c r="AC466" s="37"/>
      <c r="AD466" s="36"/>
      <c r="AE466" s="36"/>
      <c r="AF466" s="36"/>
      <c r="AG466" s="36"/>
      <c r="AH466" s="36"/>
      <c r="AI466" s="36"/>
      <c r="AJ466" s="36"/>
      <c r="AK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7"/>
      <c r="Z467" s="36"/>
      <c r="AA467" s="37"/>
      <c r="AB467" s="37"/>
      <c r="AC467" s="37"/>
      <c r="AD467" s="36"/>
      <c r="AE467" s="36"/>
      <c r="AF467" s="36"/>
      <c r="AG467" s="36"/>
      <c r="AH467" s="36"/>
      <c r="AI467" s="36"/>
      <c r="AJ467" s="36"/>
      <c r="AK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7"/>
      <c r="Z468" s="36"/>
      <c r="AA468" s="37"/>
      <c r="AB468" s="37"/>
      <c r="AC468" s="37"/>
      <c r="AD468" s="36"/>
      <c r="AE468" s="36"/>
      <c r="AF468" s="36"/>
      <c r="AG468" s="36"/>
      <c r="AH468" s="36"/>
      <c r="AI468" s="36"/>
      <c r="AJ468" s="36"/>
      <c r="AK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7"/>
      <c r="Z469" s="36"/>
      <c r="AA469" s="37"/>
      <c r="AB469" s="37"/>
      <c r="AC469" s="37"/>
      <c r="AD469" s="36"/>
      <c r="AE469" s="36"/>
      <c r="AF469" s="36"/>
      <c r="AG469" s="36"/>
      <c r="AH469" s="36"/>
      <c r="AI469" s="36"/>
      <c r="AJ469" s="36"/>
      <c r="AK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7"/>
      <c r="Z470" s="36"/>
      <c r="AA470" s="37"/>
      <c r="AB470" s="37"/>
      <c r="AC470" s="37"/>
      <c r="AD470" s="36"/>
      <c r="AE470" s="36"/>
      <c r="AF470" s="36"/>
      <c r="AG470" s="36"/>
      <c r="AH470" s="36"/>
      <c r="AI470" s="36"/>
      <c r="AJ470" s="36"/>
      <c r="AK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7"/>
      <c r="Z471" s="36"/>
      <c r="AA471" s="37"/>
      <c r="AB471" s="37"/>
      <c r="AC471" s="37"/>
      <c r="AD471" s="36"/>
      <c r="AE471" s="36"/>
      <c r="AF471" s="36"/>
      <c r="AG471" s="36"/>
      <c r="AH471" s="36"/>
      <c r="AI471" s="36"/>
      <c r="AJ471" s="36"/>
      <c r="AK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7"/>
      <c r="Z472" s="36"/>
      <c r="AA472" s="37"/>
      <c r="AB472" s="37"/>
      <c r="AC472" s="37"/>
      <c r="AD472" s="36"/>
      <c r="AE472" s="36"/>
      <c r="AF472" s="36"/>
      <c r="AG472" s="36"/>
      <c r="AH472" s="36"/>
      <c r="AI472" s="36"/>
      <c r="AJ472" s="36"/>
      <c r="AK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7"/>
      <c r="Z473" s="36"/>
      <c r="AA473" s="37"/>
      <c r="AB473" s="37"/>
      <c r="AC473" s="37"/>
      <c r="AD473" s="36"/>
      <c r="AE473" s="36"/>
      <c r="AF473" s="36"/>
      <c r="AG473" s="36"/>
      <c r="AH473" s="36"/>
      <c r="AI473" s="36"/>
      <c r="AJ473" s="36"/>
      <c r="AK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7"/>
      <c r="Z474" s="36"/>
      <c r="AA474" s="37"/>
      <c r="AB474" s="37"/>
      <c r="AC474" s="37"/>
      <c r="AD474" s="36"/>
      <c r="AE474" s="36"/>
      <c r="AF474" s="36"/>
      <c r="AG474" s="36"/>
      <c r="AH474" s="36"/>
      <c r="AI474" s="36"/>
      <c r="AJ474" s="36"/>
      <c r="AK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7"/>
      <c r="Z475" s="36"/>
      <c r="AA475" s="37"/>
      <c r="AB475" s="37"/>
      <c r="AC475" s="37"/>
      <c r="AD475" s="36"/>
      <c r="AE475" s="36"/>
      <c r="AF475" s="36"/>
      <c r="AG475" s="36"/>
      <c r="AH475" s="36"/>
      <c r="AI475" s="36"/>
      <c r="AJ475" s="36"/>
      <c r="AK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7"/>
      <c r="Z476" s="36"/>
      <c r="AA476" s="37"/>
      <c r="AB476" s="37"/>
      <c r="AC476" s="37"/>
      <c r="AD476" s="36"/>
      <c r="AE476" s="36"/>
      <c r="AF476" s="36"/>
      <c r="AG476" s="36"/>
      <c r="AH476" s="36"/>
      <c r="AI476" s="36"/>
      <c r="AJ476" s="36"/>
      <c r="AK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7"/>
      <c r="Z477" s="36"/>
      <c r="AA477" s="37"/>
      <c r="AB477" s="37"/>
      <c r="AC477" s="37"/>
      <c r="AD477" s="36"/>
      <c r="AE477" s="36"/>
      <c r="AF477" s="36"/>
      <c r="AG477" s="36"/>
      <c r="AH477" s="36"/>
      <c r="AI477" s="36"/>
      <c r="AJ477" s="36"/>
      <c r="AK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7"/>
      <c r="Z478" s="36"/>
      <c r="AA478" s="37"/>
      <c r="AB478" s="37"/>
      <c r="AC478" s="37"/>
      <c r="AD478" s="36"/>
      <c r="AE478" s="36"/>
      <c r="AF478" s="36"/>
      <c r="AG478" s="36"/>
      <c r="AH478" s="36"/>
      <c r="AI478" s="36"/>
      <c r="AJ478" s="36"/>
      <c r="AK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7"/>
      <c r="Z479" s="36"/>
      <c r="AA479" s="37"/>
      <c r="AB479" s="37"/>
      <c r="AC479" s="37"/>
      <c r="AD479" s="36"/>
      <c r="AE479" s="36"/>
      <c r="AF479" s="36"/>
      <c r="AG479" s="36"/>
      <c r="AH479" s="36"/>
      <c r="AI479" s="36"/>
      <c r="AJ479" s="36"/>
      <c r="AK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7"/>
      <c r="Z480" s="36"/>
      <c r="AA480" s="37"/>
      <c r="AB480" s="37"/>
      <c r="AC480" s="37"/>
      <c r="AD480" s="36"/>
      <c r="AE480" s="36"/>
      <c r="AF480" s="36"/>
      <c r="AG480" s="36"/>
      <c r="AH480" s="36"/>
      <c r="AI480" s="36"/>
      <c r="AJ480" s="36"/>
      <c r="AK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7"/>
      <c r="Z481" s="36"/>
      <c r="AA481" s="37"/>
      <c r="AB481" s="37"/>
      <c r="AC481" s="37"/>
      <c r="AD481" s="36"/>
      <c r="AE481" s="36"/>
      <c r="AF481" s="36"/>
      <c r="AG481" s="36"/>
      <c r="AH481" s="36"/>
      <c r="AI481" s="36"/>
      <c r="AJ481" s="36"/>
      <c r="AK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7"/>
      <c r="Z482" s="36"/>
      <c r="AA482" s="37"/>
      <c r="AB482" s="37"/>
      <c r="AC482" s="37"/>
      <c r="AD482" s="36"/>
      <c r="AE482" s="36"/>
      <c r="AF482" s="36"/>
      <c r="AG482" s="36"/>
      <c r="AH482" s="36"/>
      <c r="AI482" s="36"/>
      <c r="AJ482" s="36"/>
      <c r="AK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7"/>
      <c r="Z483" s="36"/>
      <c r="AA483" s="37"/>
      <c r="AB483" s="37"/>
      <c r="AC483" s="37"/>
      <c r="AD483" s="36"/>
      <c r="AE483" s="36"/>
      <c r="AF483" s="36"/>
      <c r="AG483" s="36"/>
      <c r="AH483" s="36"/>
      <c r="AI483" s="36"/>
      <c r="AJ483" s="36"/>
      <c r="AK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7"/>
      <c r="Z484" s="36"/>
      <c r="AA484" s="37"/>
      <c r="AB484" s="37"/>
      <c r="AC484" s="37"/>
      <c r="AD484" s="36"/>
      <c r="AE484" s="36"/>
      <c r="AF484" s="36"/>
      <c r="AG484" s="36"/>
      <c r="AH484" s="36"/>
      <c r="AI484" s="36"/>
      <c r="AJ484" s="36"/>
      <c r="AK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7"/>
      <c r="Z485" s="36"/>
      <c r="AA485" s="37"/>
      <c r="AB485" s="37"/>
      <c r="AC485" s="37"/>
      <c r="AD485" s="36"/>
      <c r="AE485" s="36"/>
      <c r="AF485" s="36"/>
      <c r="AG485" s="36"/>
      <c r="AH485" s="36"/>
      <c r="AI485" s="36"/>
      <c r="AJ485" s="36"/>
      <c r="AK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7"/>
      <c r="Z486" s="36"/>
      <c r="AA486" s="37"/>
      <c r="AB486" s="37"/>
      <c r="AC486" s="37"/>
      <c r="AD486" s="36"/>
      <c r="AE486" s="36"/>
      <c r="AF486" s="36"/>
      <c r="AG486" s="36"/>
      <c r="AH486" s="36"/>
      <c r="AI486" s="36"/>
      <c r="AJ486" s="36"/>
      <c r="AK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7"/>
      <c r="Z487" s="36"/>
      <c r="AA487" s="37"/>
      <c r="AB487" s="37"/>
      <c r="AC487" s="37"/>
      <c r="AD487" s="36"/>
      <c r="AE487" s="36"/>
      <c r="AF487" s="36"/>
      <c r="AG487" s="36"/>
      <c r="AH487" s="36"/>
      <c r="AI487" s="36"/>
      <c r="AJ487" s="36"/>
      <c r="AK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7"/>
      <c r="Z488" s="36"/>
      <c r="AA488" s="37"/>
      <c r="AB488" s="37"/>
      <c r="AC488" s="37"/>
      <c r="AD488" s="36"/>
      <c r="AE488" s="36"/>
      <c r="AF488" s="36"/>
      <c r="AG488" s="36"/>
      <c r="AH488" s="36"/>
      <c r="AI488" s="36"/>
      <c r="AJ488" s="36"/>
      <c r="AK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7"/>
      <c r="Z489" s="36"/>
      <c r="AA489" s="37"/>
      <c r="AB489" s="37"/>
      <c r="AC489" s="37"/>
      <c r="AD489" s="36"/>
      <c r="AE489" s="36"/>
      <c r="AF489" s="36"/>
      <c r="AG489" s="36"/>
      <c r="AH489" s="36"/>
      <c r="AI489" s="36"/>
      <c r="AJ489" s="36"/>
      <c r="AK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7"/>
      <c r="Z490" s="36"/>
      <c r="AA490" s="37"/>
      <c r="AB490" s="37"/>
      <c r="AC490" s="37"/>
      <c r="AD490" s="36"/>
      <c r="AE490" s="36"/>
      <c r="AF490" s="36"/>
      <c r="AG490" s="36"/>
      <c r="AH490" s="36"/>
      <c r="AI490" s="36"/>
      <c r="AJ490" s="36"/>
      <c r="AK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7"/>
      <c r="Z491" s="36"/>
      <c r="AA491" s="37"/>
      <c r="AB491" s="37"/>
      <c r="AC491" s="37"/>
      <c r="AD491" s="36"/>
      <c r="AE491" s="36"/>
      <c r="AF491" s="36"/>
      <c r="AG491" s="36"/>
      <c r="AH491" s="36"/>
      <c r="AI491" s="36"/>
      <c r="AJ491" s="36"/>
      <c r="AK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7"/>
      <c r="Z492" s="36"/>
      <c r="AA492" s="37"/>
      <c r="AB492" s="37"/>
      <c r="AC492" s="37"/>
      <c r="AD492" s="36"/>
      <c r="AE492" s="36"/>
      <c r="AF492" s="36"/>
      <c r="AG492" s="36"/>
      <c r="AH492" s="36"/>
      <c r="AI492" s="36"/>
      <c r="AJ492" s="36"/>
      <c r="AK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7"/>
      <c r="Z493" s="36"/>
      <c r="AA493" s="37"/>
      <c r="AB493" s="37"/>
      <c r="AC493" s="37"/>
      <c r="AD493" s="36"/>
      <c r="AE493" s="36"/>
      <c r="AF493" s="36"/>
      <c r="AG493" s="36"/>
      <c r="AH493" s="36"/>
      <c r="AI493" s="36"/>
      <c r="AJ493" s="36"/>
      <c r="AK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7"/>
      <c r="Z494" s="36"/>
      <c r="AA494" s="37"/>
      <c r="AB494" s="37"/>
      <c r="AC494" s="37"/>
      <c r="AD494" s="36"/>
      <c r="AE494" s="36"/>
      <c r="AF494" s="36"/>
      <c r="AG494" s="36"/>
      <c r="AH494" s="36"/>
      <c r="AI494" s="36"/>
      <c r="AJ494" s="36"/>
      <c r="AK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7"/>
      <c r="Z495" s="36"/>
      <c r="AA495" s="37"/>
      <c r="AB495" s="37"/>
      <c r="AC495" s="37"/>
      <c r="AD495" s="36"/>
      <c r="AE495" s="36"/>
      <c r="AF495" s="36"/>
      <c r="AG495" s="36"/>
      <c r="AH495" s="36"/>
      <c r="AI495" s="36"/>
      <c r="AJ495" s="36"/>
      <c r="AK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7"/>
      <c r="Z496" s="36"/>
      <c r="AA496" s="37"/>
      <c r="AB496" s="37"/>
      <c r="AC496" s="37"/>
      <c r="AD496" s="36"/>
      <c r="AE496" s="36"/>
      <c r="AF496" s="36"/>
      <c r="AG496" s="36"/>
      <c r="AH496" s="36"/>
      <c r="AI496" s="36"/>
      <c r="AJ496" s="36"/>
      <c r="AK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7"/>
      <c r="Z497" s="36"/>
      <c r="AA497" s="37"/>
      <c r="AB497" s="37"/>
      <c r="AC497" s="37"/>
      <c r="AD497" s="36"/>
      <c r="AE497" s="36"/>
      <c r="AF497" s="36"/>
      <c r="AG497" s="36"/>
      <c r="AH497" s="36"/>
      <c r="AI497" s="36"/>
      <c r="AJ497" s="36"/>
      <c r="AK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7"/>
      <c r="Z498" s="36"/>
      <c r="AA498" s="37"/>
      <c r="AB498" s="37"/>
      <c r="AC498" s="37"/>
      <c r="AD498" s="36"/>
      <c r="AE498" s="36"/>
      <c r="AF498" s="36"/>
      <c r="AG498" s="36"/>
      <c r="AH498" s="36"/>
      <c r="AI498" s="36"/>
      <c r="AJ498" s="36"/>
      <c r="AK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7"/>
      <c r="Z499" s="36"/>
      <c r="AA499" s="37"/>
      <c r="AB499" s="37"/>
      <c r="AC499" s="37"/>
      <c r="AD499" s="36"/>
      <c r="AE499" s="36"/>
      <c r="AF499" s="36"/>
      <c r="AG499" s="36"/>
      <c r="AH499" s="36"/>
      <c r="AI499" s="36"/>
      <c r="AJ499" s="36"/>
      <c r="AK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7"/>
      <c r="Z500" s="36"/>
      <c r="AA500" s="37"/>
      <c r="AB500" s="37"/>
      <c r="AC500" s="37"/>
      <c r="AD500" s="36"/>
      <c r="AE500" s="36"/>
      <c r="AF500" s="36"/>
      <c r="AG500" s="36"/>
      <c r="AH500" s="36"/>
      <c r="AI500" s="36"/>
      <c r="AJ500" s="36"/>
      <c r="AK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7"/>
      <c r="Z501" s="36"/>
      <c r="AA501" s="37"/>
      <c r="AB501" s="37"/>
      <c r="AC501" s="37"/>
      <c r="AD501" s="36"/>
      <c r="AE501" s="36"/>
      <c r="AF501" s="36"/>
      <c r="AG501" s="36"/>
      <c r="AH501" s="36"/>
      <c r="AI501" s="36"/>
      <c r="AJ501" s="36"/>
      <c r="AK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7"/>
      <c r="Z502" s="36"/>
      <c r="AA502" s="37"/>
      <c r="AB502" s="37"/>
      <c r="AC502" s="37"/>
      <c r="AD502" s="36"/>
      <c r="AE502" s="36"/>
      <c r="AF502" s="36"/>
      <c r="AG502" s="36"/>
      <c r="AH502" s="36"/>
      <c r="AI502" s="36"/>
      <c r="AJ502" s="36"/>
      <c r="AK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7"/>
      <c r="Z503" s="36"/>
      <c r="AA503" s="37"/>
      <c r="AB503" s="37"/>
      <c r="AC503" s="37"/>
      <c r="AD503" s="36"/>
      <c r="AE503" s="36"/>
      <c r="AF503" s="36"/>
      <c r="AG503" s="36"/>
      <c r="AH503" s="36"/>
      <c r="AI503" s="36"/>
      <c r="AJ503" s="36"/>
      <c r="AK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7"/>
      <c r="Z504" s="36"/>
      <c r="AA504" s="37"/>
      <c r="AB504" s="37"/>
      <c r="AC504" s="37"/>
      <c r="AD504" s="36"/>
      <c r="AE504" s="36"/>
      <c r="AF504" s="36"/>
      <c r="AG504" s="36"/>
      <c r="AH504" s="36"/>
      <c r="AI504" s="36"/>
      <c r="AJ504" s="36"/>
      <c r="AK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7"/>
      <c r="Z505" s="36"/>
      <c r="AA505" s="37"/>
      <c r="AB505" s="37"/>
      <c r="AC505" s="37"/>
      <c r="AD505" s="36"/>
      <c r="AE505" s="36"/>
      <c r="AF505" s="36"/>
      <c r="AG505" s="36"/>
      <c r="AH505" s="36"/>
      <c r="AI505" s="36"/>
      <c r="AJ505" s="36"/>
      <c r="AK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7"/>
      <c r="Z506" s="36"/>
      <c r="AA506" s="37"/>
      <c r="AB506" s="37"/>
      <c r="AC506" s="37"/>
      <c r="AD506" s="36"/>
      <c r="AE506" s="36"/>
      <c r="AF506" s="36"/>
      <c r="AG506" s="36"/>
      <c r="AH506" s="36"/>
      <c r="AI506" s="36"/>
      <c r="AJ506" s="36"/>
      <c r="AK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7"/>
      <c r="Z507" s="36"/>
      <c r="AA507" s="37"/>
      <c r="AB507" s="37"/>
      <c r="AC507" s="37"/>
      <c r="AD507" s="36"/>
      <c r="AE507" s="36"/>
      <c r="AF507" s="36"/>
      <c r="AG507" s="36"/>
      <c r="AH507" s="36"/>
      <c r="AI507" s="36"/>
      <c r="AJ507" s="36"/>
      <c r="AK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7"/>
      <c r="Z508" s="36"/>
      <c r="AA508" s="37"/>
      <c r="AB508" s="37"/>
      <c r="AC508" s="37"/>
      <c r="AD508" s="36"/>
      <c r="AE508" s="36"/>
      <c r="AF508" s="36"/>
      <c r="AG508" s="36"/>
      <c r="AH508" s="36"/>
      <c r="AI508" s="36"/>
      <c r="AJ508" s="36"/>
      <c r="AK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7"/>
      <c r="Z509" s="36"/>
      <c r="AA509" s="37"/>
      <c r="AB509" s="37"/>
      <c r="AC509" s="37"/>
      <c r="AD509" s="36"/>
      <c r="AE509" s="36"/>
      <c r="AF509" s="36"/>
      <c r="AG509" s="36"/>
      <c r="AH509" s="36"/>
      <c r="AI509" s="36"/>
      <c r="AJ509" s="36"/>
      <c r="AK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7"/>
      <c r="Z510" s="36"/>
      <c r="AA510" s="37"/>
      <c r="AB510" s="37"/>
      <c r="AC510" s="37"/>
      <c r="AD510" s="36"/>
      <c r="AE510" s="36"/>
      <c r="AF510" s="36"/>
      <c r="AG510" s="36"/>
      <c r="AH510" s="36"/>
      <c r="AI510" s="36"/>
      <c r="AJ510" s="36"/>
      <c r="AK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7"/>
      <c r="Z511" s="36"/>
      <c r="AA511" s="37"/>
      <c r="AB511" s="37"/>
      <c r="AC511" s="37"/>
      <c r="AD511" s="36"/>
      <c r="AE511" s="36"/>
      <c r="AF511" s="36"/>
      <c r="AG511" s="36"/>
      <c r="AH511" s="36"/>
      <c r="AI511" s="36"/>
      <c r="AJ511" s="36"/>
      <c r="AK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7"/>
      <c r="Z512" s="36"/>
      <c r="AA512" s="37"/>
      <c r="AB512" s="37"/>
      <c r="AC512" s="37"/>
      <c r="AD512" s="36"/>
      <c r="AE512" s="36"/>
      <c r="AF512" s="36"/>
      <c r="AG512" s="36"/>
      <c r="AH512" s="36"/>
      <c r="AI512" s="36"/>
      <c r="AJ512" s="36"/>
      <c r="AK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7"/>
      <c r="Z513" s="36"/>
      <c r="AA513" s="37"/>
      <c r="AB513" s="37"/>
      <c r="AC513" s="37"/>
      <c r="AD513" s="36"/>
      <c r="AE513" s="36"/>
      <c r="AF513" s="36"/>
      <c r="AG513" s="36"/>
      <c r="AH513" s="36"/>
      <c r="AI513" s="36"/>
      <c r="AJ513" s="36"/>
      <c r="AK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7"/>
      <c r="Z514" s="36"/>
      <c r="AA514" s="37"/>
      <c r="AB514" s="37"/>
      <c r="AC514" s="37"/>
      <c r="AD514" s="36"/>
      <c r="AE514" s="36"/>
      <c r="AF514" s="36"/>
      <c r="AG514" s="36"/>
      <c r="AH514" s="36"/>
      <c r="AI514" s="36"/>
      <c r="AJ514" s="36"/>
      <c r="AK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7"/>
      <c r="Z515" s="36"/>
      <c r="AA515" s="37"/>
      <c r="AB515" s="37"/>
      <c r="AC515" s="37"/>
      <c r="AD515" s="36"/>
      <c r="AE515" s="36"/>
      <c r="AF515" s="36"/>
      <c r="AG515" s="36"/>
      <c r="AH515" s="36"/>
      <c r="AI515" s="36"/>
      <c r="AJ515" s="36"/>
      <c r="AK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7"/>
      <c r="Z516" s="36"/>
      <c r="AA516" s="37"/>
      <c r="AB516" s="37"/>
      <c r="AC516" s="37"/>
      <c r="AD516" s="36"/>
      <c r="AE516" s="36"/>
      <c r="AF516" s="36"/>
      <c r="AG516" s="36"/>
      <c r="AH516" s="36"/>
      <c r="AI516" s="36"/>
      <c r="AJ516" s="36"/>
      <c r="AK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7"/>
      <c r="Z517" s="36"/>
      <c r="AA517" s="37"/>
      <c r="AB517" s="37"/>
      <c r="AC517" s="37"/>
      <c r="AD517" s="36"/>
      <c r="AE517" s="36"/>
      <c r="AF517" s="36"/>
      <c r="AG517" s="36"/>
      <c r="AH517" s="36"/>
      <c r="AI517" s="36"/>
      <c r="AJ517" s="36"/>
      <c r="AK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7"/>
      <c r="Z518" s="36"/>
      <c r="AA518" s="37"/>
      <c r="AB518" s="37"/>
      <c r="AC518" s="37"/>
      <c r="AD518" s="36"/>
      <c r="AE518" s="36"/>
      <c r="AF518" s="36"/>
      <c r="AG518" s="36"/>
      <c r="AH518" s="36"/>
      <c r="AI518" s="36"/>
      <c r="AJ518" s="36"/>
      <c r="AK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7"/>
      <c r="Z519" s="36"/>
      <c r="AA519" s="37"/>
      <c r="AB519" s="37"/>
      <c r="AC519" s="37"/>
      <c r="AD519" s="36"/>
      <c r="AE519" s="36"/>
      <c r="AF519" s="36"/>
      <c r="AG519" s="36"/>
      <c r="AH519" s="36"/>
      <c r="AI519" s="36"/>
      <c r="AJ519" s="36"/>
      <c r="AK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7"/>
      <c r="Z520" s="36"/>
      <c r="AA520" s="37"/>
      <c r="AB520" s="37"/>
      <c r="AC520" s="37"/>
      <c r="AD520" s="36"/>
      <c r="AE520" s="36"/>
      <c r="AF520" s="36"/>
      <c r="AG520" s="36"/>
      <c r="AH520" s="36"/>
      <c r="AI520" s="36"/>
      <c r="AJ520" s="36"/>
      <c r="AK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7"/>
      <c r="Z521" s="36"/>
      <c r="AA521" s="37"/>
      <c r="AB521" s="37"/>
      <c r="AC521" s="37"/>
      <c r="AD521" s="36"/>
      <c r="AE521" s="36"/>
      <c r="AF521" s="36"/>
      <c r="AG521" s="36"/>
      <c r="AH521" s="36"/>
      <c r="AI521" s="36"/>
      <c r="AJ521" s="36"/>
      <c r="AK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7"/>
      <c r="Z522" s="36"/>
      <c r="AA522" s="37"/>
      <c r="AB522" s="37"/>
      <c r="AC522" s="37"/>
      <c r="AD522" s="36"/>
      <c r="AE522" s="36"/>
      <c r="AF522" s="36"/>
      <c r="AG522" s="36"/>
      <c r="AH522" s="36"/>
      <c r="AI522" s="36"/>
      <c r="AJ522" s="36"/>
      <c r="AK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7"/>
      <c r="Z523" s="36"/>
      <c r="AA523" s="37"/>
      <c r="AB523" s="37"/>
      <c r="AC523" s="37"/>
      <c r="AD523" s="36"/>
      <c r="AE523" s="36"/>
      <c r="AF523" s="36"/>
      <c r="AG523" s="36"/>
      <c r="AH523" s="36"/>
      <c r="AI523" s="36"/>
      <c r="AJ523" s="36"/>
      <c r="AK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7"/>
      <c r="Z524" s="36"/>
      <c r="AA524" s="37"/>
      <c r="AB524" s="37"/>
      <c r="AC524" s="37"/>
      <c r="AD524" s="36"/>
      <c r="AE524" s="36"/>
      <c r="AF524" s="36"/>
      <c r="AG524" s="36"/>
      <c r="AH524" s="36"/>
      <c r="AI524" s="36"/>
      <c r="AJ524" s="36"/>
      <c r="AK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7"/>
      <c r="Z525" s="36"/>
      <c r="AA525" s="37"/>
      <c r="AB525" s="37"/>
      <c r="AC525" s="37"/>
      <c r="AD525" s="36"/>
      <c r="AE525" s="36"/>
      <c r="AF525" s="36"/>
      <c r="AG525" s="36"/>
      <c r="AH525" s="36"/>
      <c r="AI525" s="36"/>
      <c r="AJ525" s="36"/>
      <c r="AK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7"/>
      <c r="Z526" s="36"/>
      <c r="AA526" s="37"/>
      <c r="AB526" s="37"/>
      <c r="AC526" s="37"/>
      <c r="AD526" s="36"/>
      <c r="AE526" s="36"/>
      <c r="AF526" s="36"/>
      <c r="AG526" s="36"/>
      <c r="AH526" s="36"/>
      <c r="AI526" s="36"/>
      <c r="AJ526" s="36"/>
      <c r="AK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7"/>
      <c r="Z527" s="36"/>
      <c r="AA527" s="37"/>
      <c r="AB527" s="37"/>
      <c r="AC527" s="37"/>
      <c r="AD527" s="36"/>
      <c r="AE527" s="36"/>
      <c r="AF527" s="36"/>
      <c r="AG527" s="36"/>
      <c r="AH527" s="36"/>
      <c r="AI527" s="36"/>
      <c r="AJ527" s="36"/>
      <c r="AK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7"/>
      <c r="Z528" s="36"/>
      <c r="AA528" s="37"/>
      <c r="AB528" s="37"/>
      <c r="AC528" s="37"/>
      <c r="AD528" s="36"/>
      <c r="AE528" s="36"/>
      <c r="AF528" s="36"/>
      <c r="AG528" s="36"/>
      <c r="AH528" s="36"/>
      <c r="AI528" s="36"/>
      <c r="AJ528" s="36"/>
      <c r="AK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7"/>
      <c r="Z529" s="36"/>
      <c r="AA529" s="37"/>
      <c r="AB529" s="37"/>
      <c r="AC529" s="37"/>
      <c r="AD529" s="36"/>
      <c r="AE529" s="36"/>
      <c r="AF529" s="36"/>
      <c r="AG529" s="36"/>
      <c r="AH529" s="36"/>
      <c r="AI529" s="36"/>
      <c r="AJ529" s="36"/>
      <c r="AK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7"/>
      <c r="Z530" s="36"/>
      <c r="AA530" s="37"/>
      <c r="AB530" s="37"/>
      <c r="AC530" s="37"/>
      <c r="AD530" s="36"/>
      <c r="AE530" s="36"/>
      <c r="AF530" s="36"/>
      <c r="AG530" s="36"/>
      <c r="AH530" s="36"/>
      <c r="AI530" s="36"/>
      <c r="AJ530" s="36"/>
      <c r="AK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7"/>
      <c r="Z531" s="36"/>
      <c r="AA531" s="37"/>
      <c r="AB531" s="37"/>
      <c r="AC531" s="37"/>
      <c r="AD531" s="36"/>
      <c r="AE531" s="36"/>
      <c r="AF531" s="36"/>
      <c r="AG531" s="36"/>
      <c r="AH531" s="36"/>
      <c r="AI531" s="36"/>
      <c r="AJ531" s="36"/>
      <c r="AK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7"/>
      <c r="Z532" s="36"/>
      <c r="AA532" s="37"/>
      <c r="AB532" s="37"/>
      <c r="AC532" s="37"/>
      <c r="AD532" s="36"/>
      <c r="AE532" s="36"/>
      <c r="AF532" s="36"/>
      <c r="AG532" s="36"/>
      <c r="AH532" s="36"/>
      <c r="AI532" s="36"/>
      <c r="AJ532" s="36"/>
      <c r="AK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7"/>
      <c r="Z533" s="36"/>
      <c r="AA533" s="37"/>
      <c r="AB533" s="37"/>
      <c r="AC533" s="37"/>
      <c r="AD533" s="36"/>
      <c r="AE533" s="36"/>
      <c r="AF533" s="36"/>
      <c r="AG533" s="36"/>
      <c r="AH533" s="36"/>
      <c r="AI533" s="36"/>
      <c r="AJ533" s="36"/>
      <c r="AK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7"/>
      <c r="Z534" s="36"/>
      <c r="AA534" s="37"/>
      <c r="AB534" s="37"/>
      <c r="AC534" s="37"/>
      <c r="AD534" s="36"/>
      <c r="AE534" s="36"/>
      <c r="AF534" s="36"/>
      <c r="AG534" s="36"/>
      <c r="AH534" s="36"/>
      <c r="AI534" s="36"/>
      <c r="AJ534" s="36"/>
      <c r="AK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7"/>
      <c r="Z535" s="36"/>
      <c r="AA535" s="37"/>
      <c r="AB535" s="37"/>
      <c r="AC535" s="37"/>
      <c r="AD535" s="36"/>
      <c r="AE535" s="36"/>
      <c r="AF535" s="36"/>
      <c r="AG535" s="36"/>
      <c r="AH535" s="36"/>
      <c r="AI535" s="36"/>
      <c r="AJ535" s="36"/>
      <c r="AK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7"/>
      <c r="Z536" s="36"/>
      <c r="AA536" s="37"/>
      <c r="AB536" s="37"/>
      <c r="AC536" s="37"/>
      <c r="AD536" s="36"/>
      <c r="AE536" s="36"/>
      <c r="AF536" s="36"/>
      <c r="AG536" s="36"/>
      <c r="AH536" s="36"/>
      <c r="AI536" s="36"/>
      <c r="AJ536" s="36"/>
      <c r="AK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7"/>
      <c r="Z537" s="36"/>
      <c r="AA537" s="37"/>
      <c r="AB537" s="37"/>
      <c r="AC537" s="37"/>
      <c r="AD537" s="36"/>
      <c r="AE537" s="36"/>
      <c r="AF537" s="36"/>
      <c r="AG537" s="36"/>
      <c r="AH537" s="36"/>
      <c r="AI537" s="36"/>
      <c r="AJ537" s="36"/>
      <c r="AK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7"/>
      <c r="Z538" s="36"/>
      <c r="AA538" s="37"/>
      <c r="AB538" s="37"/>
      <c r="AC538" s="37"/>
      <c r="AD538" s="36"/>
      <c r="AE538" s="36"/>
      <c r="AF538" s="36"/>
      <c r="AG538" s="36"/>
      <c r="AH538" s="36"/>
      <c r="AI538" s="36"/>
      <c r="AJ538" s="36"/>
      <c r="AK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7"/>
      <c r="Z539" s="36"/>
      <c r="AA539" s="37"/>
      <c r="AB539" s="37"/>
      <c r="AC539" s="37"/>
      <c r="AD539" s="36"/>
      <c r="AE539" s="36"/>
      <c r="AF539" s="36"/>
      <c r="AG539" s="36"/>
      <c r="AH539" s="36"/>
      <c r="AI539" s="36"/>
      <c r="AJ539" s="36"/>
      <c r="AK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7"/>
      <c r="Z540" s="36"/>
      <c r="AA540" s="37"/>
      <c r="AB540" s="37"/>
      <c r="AC540" s="37"/>
      <c r="AD540" s="36"/>
      <c r="AE540" s="36"/>
      <c r="AF540" s="36"/>
      <c r="AG540" s="36"/>
      <c r="AH540" s="36"/>
      <c r="AI540" s="36"/>
      <c r="AJ540" s="36"/>
      <c r="AK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7"/>
      <c r="Z541" s="36"/>
      <c r="AA541" s="37"/>
      <c r="AB541" s="37"/>
      <c r="AC541" s="37"/>
      <c r="AD541" s="36"/>
      <c r="AE541" s="36"/>
      <c r="AF541" s="36"/>
      <c r="AG541" s="36"/>
      <c r="AH541" s="36"/>
      <c r="AI541" s="36"/>
      <c r="AJ541" s="36"/>
      <c r="AK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7"/>
      <c r="Z542" s="36"/>
      <c r="AA542" s="37"/>
      <c r="AB542" s="37"/>
      <c r="AC542" s="37"/>
      <c r="AD542" s="36"/>
      <c r="AE542" s="36"/>
      <c r="AF542" s="36"/>
      <c r="AG542" s="36"/>
      <c r="AH542" s="36"/>
      <c r="AI542" s="36"/>
      <c r="AJ542" s="36"/>
      <c r="AK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7"/>
      <c r="Z543" s="36"/>
      <c r="AA543" s="37"/>
      <c r="AB543" s="37"/>
      <c r="AC543" s="37"/>
      <c r="AD543" s="36"/>
      <c r="AE543" s="36"/>
      <c r="AF543" s="36"/>
      <c r="AG543" s="36"/>
      <c r="AH543" s="36"/>
      <c r="AI543" s="36"/>
      <c r="AJ543" s="36"/>
      <c r="AK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7"/>
      <c r="Z544" s="36"/>
      <c r="AA544" s="37"/>
      <c r="AB544" s="37"/>
      <c r="AC544" s="37"/>
      <c r="AD544" s="36"/>
      <c r="AE544" s="36"/>
      <c r="AF544" s="36"/>
      <c r="AG544" s="36"/>
      <c r="AH544" s="36"/>
      <c r="AI544" s="36"/>
      <c r="AJ544" s="36"/>
      <c r="AK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7"/>
      <c r="Z545" s="36"/>
      <c r="AA545" s="37"/>
      <c r="AB545" s="37"/>
      <c r="AC545" s="37"/>
      <c r="AD545" s="36"/>
      <c r="AE545" s="36"/>
      <c r="AF545" s="36"/>
      <c r="AG545" s="36"/>
      <c r="AH545" s="36"/>
      <c r="AI545" s="36"/>
      <c r="AJ545" s="36"/>
      <c r="AK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7"/>
      <c r="Z546" s="36"/>
      <c r="AA546" s="37"/>
      <c r="AB546" s="37"/>
      <c r="AC546" s="37"/>
      <c r="AD546" s="36"/>
      <c r="AE546" s="36"/>
      <c r="AF546" s="36"/>
      <c r="AG546" s="36"/>
      <c r="AH546" s="36"/>
      <c r="AI546" s="36"/>
      <c r="AJ546" s="36"/>
      <c r="AK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7"/>
      <c r="Z547" s="36"/>
      <c r="AA547" s="37"/>
      <c r="AB547" s="37"/>
      <c r="AC547" s="37"/>
      <c r="AD547" s="36"/>
      <c r="AE547" s="36"/>
      <c r="AF547" s="36"/>
      <c r="AG547" s="36"/>
      <c r="AH547" s="36"/>
      <c r="AI547" s="36"/>
      <c r="AJ547" s="36"/>
      <c r="AK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7"/>
      <c r="Z548" s="36"/>
      <c r="AA548" s="37"/>
      <c r="AB548" s="37"/>
      <c r="AC548" s="37"/>
      <c r="AD548" s="36"/>
      <c r="AE548" s="36"/>
      <c r="AF548" s="36"/>
      <c r="AG548" s="36"/>
      <c r="AH548" s="36"/>
      <c r="AI548" s="36"/>
      <c r="AJ548" s="36"/>
      <c r="AK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7"/>
      <c r="Z549" s="36"/>
      <c r="AA549" s="37"/>
      <c r="AB549" s="37"/>
      <c r="AC549" s="37"/>
      <c r="AD549" s="36"/>
      <c r="AE549" s="36"/>
      <c r="AF549" s="36"/>
      <c r="AG549" s="36"/>
      <c r="AH549" s="36"/>
      <c r="AI549" s="36"/>
      <c r="AJ549" s="36"/>
      <c r="AK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7"/>
      <c r="Z550" s="36"/>
      <c r="AA550" s="37"/>
      <c r="AB550" s="37"/>
      <c r="AC550" s="37"/>
      <c r="AD550" s="36"/>
      <c r="AE550" s="36"/>
      <c r="AF550" s="36"/>
      <c r="AG550" s="36"/>
      <c r="AH550" s="36"/>
      <c r="AI550" s="36"/>
      <c r="AJ550" s="36"/>
      <c r="AK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7"/>
      <c r="Z551" s="36"/>
      <c r="AA551" s="37"/>
      <c r="AB551" s="37"/>
      <c r="AC551" s="37"/>
      <c r="AD551" s="36"/>
      <c r="AE551" s="36"/>
      <c r="AF551" s="36"/>
      <c r="AG551" s="36"/>
      <c r="AH551" s="36"/>
      <c r="AI551" s="36"/>
      <c r="AJ551" s="36"/>
      <c r="AK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7"/>
      <c r="Z552" s="36"/>
      <c r="AA552" s="37"/>
      <c r="AB552" s="37"/>
      <c r="AC552" s="37"/>
      <c r="AD552" s="36"/>
      <c r="AE552" s="36"/>
      <c r="AF552" s="36"/>
      <c r="AG552" s="36"/>
      <c r="AH552" s="36"/>
      <c r="AI552" s="36"/>
      <c r="AJ552" s="36"/>
      <c r="AK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7"/>
      <c r="Z553" s="36"/>
      <c r="AA553" s="37"/>
      <c r="AB553" s="37"/>
      <c r="AC553" s="37"/>
      <c r="AD553" s="36"/>
      <c r="AE553" s="36"/>
      <c r="AF553" s="36"/>
      <c r="AG553" s="36"/>
      <c r="AH553" s="36"/>
      <c r="AI553" s="36"/>
      <c r="AJ553" s="36"/>
      <c r="AK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7"/>
      <c r="Z554" s="36"/>
      <c r="AA554" s="37"/>
      <c r="AB554" s="37"/>
      <c r="AC554" s="37"/>
      <c r="AD554" s="36"/>
      <c r="AE554" s="36"/>
      <c r="AF554" s="36"/>
      <c r="AG554" s="36"/>
      <c r="AH554" s="36"/>
      <c r="AI554" s="36"/>
      <c r="AJ554" s="36"/>
      <c r="AK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7"/>
      <c r="Z555" s="36"/>
      <c r="AA555" s="37"/>
      <c r="AB555" s="37"/>
      <c r="AC555" s="37"/>
      <c r="AD555" s="36"/>
      <c r="AE555" s="36"/>
      <c r="AF555" s="36"/>
      <c r="AG555" s="36"/>
      <c r="AH555" s="36"/>
      <c r="AI555" s="36"/>
      <c r="AJ555" s="36"/>
      <c r="AK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7"/>
      <c r="Z556" s="36"/>
      <c r="AA556" s="37"/>
      <c r="AB556" s="37"/>
      <c r="AC556" s="37"/>
      <c r="AD556" s="36"/>
      <c r="AE556" s="36"/>
      <c r="AF556" s="36"/>
      <c r="AG556" s="36"/>
      <c r="AH556" s="36"/>
      <c r="AI556" s="36"/>
      <c r="AJ556" s="36"/>
      <c r="AK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7"/>
      <c r="Z557" s="36"/>
      <c r="AA557" s="37"/>
      <c r="AB557" s="37"/>
      <c r="AC557" s="37"/>
      <c r="AD557" s="36"/>
      <c r="AE557" s="36"/>
      <c r="AF557" s="36"/>
      <c r="AG557" s="36"/>
      <c r="AH557" s="36"/>
      <c r="AI557" s="36"/>
      <c r="AJ557" s="36"/>
      <c r="AK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7"/>
      <c r="Z558" s="36"/>
      <c r="AA558" s="37"/>
      <c r="AB558" s="37"/>
      <c r="AC558" s="37"/>
      <c r="AD558" s="36"/>
      <c r="AE558" s="36"/>
      <c r="AF558" s="36"/>
      <c r="AG558" s="36"/>
      <c r="AH558" s="36"/>
      <c r="AI558" s="36"/>
      <c r="AJ558" s="36"/>
      <c r="AK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7"/>
      <c r="Z559" s="36"/>
      <c r="AA559" s="37"/>
      <c r="AB559" s="37"/>
      <c r="AC559" s="37"/>
      <c r="AD559" s="36"/>
      <c r="AE559" s="36"/>
      <c r="AF559" s="36"/>
      <c r="AG559" s="36"/>
      <c r="AH559" s="36"/>
      <c r="AI559" s="36"/>
      <c r="AJ559" s="36"/>
      <c r="AK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7"/>
      <c r="Z560" s="36"/>
      <c r="AA560" s="37"/>
      <c r="AB560" s="37"/>
      <c r="AC560" s="37"/>
      <c r="AD560" s="36"/>
      <c r="AE560" s="36"/>
      <c r="AF560" s="36"/>
      <c r="AG560" s="36"/>
      <c r="AH560" s="36"/>
      <c r="AI560" s="36"/>
      <c r="AJ560" s="36"/>
      <c r="AK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7"/>
      <c r="Z561" s="36"/>
      <c r="AA561" s="37"/>
      <c r="AB561" s="37"/>
      <c r="AC561" s="37"/>
      <c r="AD561" s="36"/>
      <c r="AE561" s="36"/>
      <c r="AF561" s="36"/>
      <c r="AG561" s="36"/>
      <c r="AH561" s="36"/>
      <c r="AI561" s="36"/>
      <c r="AJ561" s="36"/>
      <c r="AK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7"/>
      <c r="Z562" s="36"/>
      <c r="AA562" s="37"/>
      <c r="AB562" s="37"/>
      <c r="AC562" s="37"/>
      <c r="AD562" s="36"/>
      <c r="AE562" s="36"/>
      <c r="AF562" s="36"/>
      <c r="AG562" s="36"/>
      <c r="AH562" s="36"/>
      <c r="AI562" s="36"/>
      <c r="AJ562" s="36"/>
      <c r="AK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7"/>
      <c r="Z563" s="36"/>
      <c r="AA563" s="37"/>
      <c r="AB563" s="37"/>
      <c r="AC563" s="37"/>
      <c r="AD563" s="36"/>
      <c r="AE563" s="36"/>
      <c r="AF563" s="36"/>
      <c r="AG563" s="36"/>
      <c r="AH563" s="36"/>
      <c r="AI563" s="36"/>
      <c r="AJ563" s="36"/>
      <c r="AK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7"/>
      <c r="Z564" s="36"/>
      <c r="AA564" s="37"/>
      <c r="AB564" s="37"/>
      <c r="AC564" s="37"/>
      <c r="AD564" s="36"/>
      <c r="AE564" s="36"/>
      <c r="AF564" s="36"/>
      <c r="AG564" s="36"/>
      <c r="AH564" s="36"/>
      <c r="AI564" s="36"/>
      <c r="AJ564" s="36"/>
      <c r="AK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7"/>
      <c r="Z565" s="36"/>
      <c r="AA565" s="37"/>
      <c r="AB565" s="37"/>
      <c r="AC565" s="37"/>
      <c r="AD565" s="36"/>
      <c r="AE565" s="36"/>
      <c r="AF565" s="36"/>
      <c r="AG565" s="36"/>
      <c r="AH565" s="36"/>
      <c r="AI565" s="36"/>
      <c r="AJ565" s="36"/>
      <c r="AK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7"/>
      <c r="Z566" s="36"/>
      <c r="AA566" s="37"/>
      <c r="AB566" s="37"/>
      <c r="AC566" s="37"/>
      <c r="AD566" s="36"/>
      <c r="AE566" s="36"/>
      <c r="AF566" s="36"/>
      <c r="AG566" s="36"/>
      <c r="AH566" s="36"/>
      <c r="AI566" s="36"/>
      <c r="AJ566" s="36"/>
      <c r="AK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7"/>
      <c r="Z567" s="36"/>
      <c r="AA567" s="37"/>
      <c r="AB567" s="37"/>
      <c r="AC567" s="37"/>
      <c r="AD567" s="36"/>
      <c r="AE567" s="36"/>
      <c r="AF567" s="36"/>
      <c r="AG567" s="36"/>
      <c r="AH567" s="36"/>
      <c r="AI567" s="36"/>
      <c r="AJ567" s="36"/>
      <c r="AK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7"/>
      <c r="Z568" s="36"/>
      <c r="AA568" s="37"/>
      <c r="AB568" s="37"/>
      <c r="AC568" s="37"/>
      <c r="AD568" s="36"/>
      <c r="AE568" s="36"/>
      <c r="AF568" s="36"/>
      <c r="AG568" s="36"/>
      <c r="AH568" s="36"/>
      <c r="AI568" s="36"/>
      <c r="AJ568" s="36"/>
      <c r="AK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7"/>
      <c r="Z569" s="36"/>
      <c r="AA569" s="37"/>
      <c r="AB569" s="37"/>
      <c r="AC569" s="37"/>
      <c r="AD569" s="36"/>
      <c r="AE569" s="36"/>
      <c r="AF569" s="36"/>
      <c r="AG569" s="36"/>
      <c r="AH569" s="36"/>
      <c r="AI569" s="36"/>
      <c r="AJ569" s="36"/>
      <c r="AK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7"/>
      <c r="Z570" s="36"/>
      <c r="AA570" s="37"/>
      <c r="AB570" s="37"/>
      <c r="AC570" s="37"/>
      <c r="AD570" s="36"/>
      <c r="AE570" s="36"/>
      <c r="AF570" s="36"/>
      <c r="AG570" s="36"/>
      <c r="AH570" s="36"/>
      <c r="AI570" s="36"/>
      <c r="AJ570" s="36"/>
      <c r="AK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7"/>
      <c r="Z571" s="36"/>
      <c r="AA571" s="37"/>
      <c r="AB571" s="37"/>
      <c r="AC571" s="37"/>
      <c r="AD571" s="36"/>
      <c r="AE571" s="36"/>
      <c r="AF571" s="36"/>
      <c r="AG571" s="36"/>
      <c r="AH571" s="36"/>
      <c r="AI571" s="36"/>
      <c r="AJ571" s="36"/>
      <c r="AK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7"/>
      <c r="Z572" s="36"/>
      <c r="AA572" s="37"/>
      <c r="AB572" s="37"/>
      <c r="AC572" s="37"/>
      <c r="AD572" s="36"/>
      <c r="AE572" s="36"/>
      <c r="AF572" s="36"/>
      <c r="AG572" s="36"/>
      <c r="AH572" s="36"/>
      <c r="AI572" s="36"/>
      <c r="AJ572" s="36"/>
      <c r="AK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7"/>
      <c r="Z573" s="36"/>
      <c r="AA573" s="37"/>
      <c r="AB573" s="37"/>
      <c r="AC573" s="37"/>
      <c r="AD573" s="36"/>
      <c r="AE573" s="36"/>
      <c r="AF573" s="36"/>
      <c r="AG573" s="36"/>
      <c r="AH573" s="36"/>
      <c r="AI573" s="36"/>
      <c r="AJ573" s="36"/>
      <c r="AK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7"/>
      <c r="Z574" s="36"/>
      <c r="AA574" s="37"/>
      <c r="AB574" s="37"/>
      <c r="AC574" s="37"/>
      <c r="AD574" s="36"/>
      <c r="AE574" s="36"/>
      <c r="AF574" s="36"/>
      <c r="AG574" s="36"/>
      <c r="AH574" s="36"/>
      <c r="AI574" s="36"/>
      <c r="AJ574" s="36"/>
      <c r="AK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7"/>
      <c r="Z575" s="36"/>
      <c r="AA575" s="37"/>
      <c r="AB575" s="37"/>
      <c r="AC575" s="37"/>
      <c r="AD575" s="36"/>
      <c r="AE575" s="36"/>
      <c r="AF575" s="36"/>
      <c r="AG575" s="36"/>
      <c r="AH575" s="36"/>
      <c r="AI575" s="36"/>
      <c r="AJ575" s="36"/>
      <c r="AK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7"/>
      <c r="Z576" s="36"/>
      <c r="AA576" s="37"/>
      <c r="AB576" s="37"/>
      <c r="AC576" s="37"/>
      <c r="AD576" s="36"/>
      <c r="AE576" s="36"/>
      <c r="AF576" s="36"/>
      <c r="AG576" s="36"/>
      <c r="AH576" s="36"/>
      <c r="AI576" s="36"/>
      <c r="AJ576" s="36"/>
      <c r="AK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7"/>
      <c r="Z577" s="36"/>
      <c r="AA577" s="37"/>
      <c r="AB577" s="37"/>
      <c r="AC577" s="37"/>
      <c r="AD577" s="36"/>
      <c r="AE577" s="36"/>
      <c r="AF577" s="36"/>
      <c r="AG577" s="36"/>
      <c r="AH577" s="36"/>
      <c r="AI577" s="36"/>
      <c r="AJ577" s="36"/>
      <c r="AK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7"/>
      <c r="Z578" s="36"/>
      <c r="AA578" s="37"/>
      <c r="AB578" s="37"/>
      <c r="AC578" s="37"/>
      <c r="AD578" s="36"/>
      <c r="AE578" s="36"/>
      <c r="AF578" s="36"/>
      <c r="AG578" s="36"/>
      <c r="AH578" s="36"/>
      <c r="AI578" s="36"/>
      <c r="AJ578" s="36"/>
      <c r="AK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7"/>
      <c r="Z579" s="36"/>
      <c r="AA579" s="37"/>
      <c r="AB579" s="37"/>
      <c r="AC579" s="37"/>
      <c r="AD579" s="36"/>
      <c r="AE579" s="36"/>
      <c r="AF579" s="36"/>
      <c r="AG579" s="36"/>
      <c r="AH579" s="36"/>
      <c r="AI579" s="36"/>
      <c r="AJ579" s="36"/>
      <c r="AK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7"/>
      <c r="Z580" s="36"/>
      <c r="AA580" s="37"/>
      <c r="AB580" s="37"/>
      <c r="AC580" s="37"/>
      <c r="AD580" s="36"/>
      <c r="AE580" s="36"/>
      <c r="AF580" s="36"/>
      <c r="AG580" s="36"/>
      <c r="AH580" s="36"/>
      <c r="AI580" s="36"/>
      <c r="AJ580" s="36"/>
      <c r="AK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7"/>
      <c r="Z581" s="36"/>
      <c r="AA581" s="37"/>
      <c r="AB581" s="37"/>
      <c r="AC581" s="37"/>
      <c r="AD581" s="36"/>
      <c r="AE581" s="36"/>
      <c r="AF581" s="36"/>
      <c r="AG581" s="36"/>
      <c r="AH581" s="36"/>
      <c r="AI581" s="36"/>
      <c r="AJ581" s="36"/>
      <c r="AK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7"/>
      <c r="Z582" s="36"/>
      <c r="AA582" s="37"/>
      <c r="AB582" s="37"/>
      <c r="AC582" s="37"/>
      <c r="AD582" s="36"/>
      <c r="AE582" s="36"/>
      <c r="AF582" s="36"/>
      <c r="AG582" s="36"/>
      <c r="AH582" s="36"/>
      <c r="AI582" s="36"/>
      <c r="AJ582" s="36"/>
      <c r="AK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7"/>
      <c r="Z583" s="36"/>
      <c r="AA583" s="37"/>
      <c r="AB583" s="37"/>
      <c r="AC583" s="37"/>
      <c r="AD583" s="36"/>
      <c r="AE583" s="36"/>
      <c r="AF583" s="36"/>
      <c r="AG583" s="36"/>
      <c r="AH583" s="36"/>
      <c r="AI583" s="36"/>
      <c r="AJ583" s="36"/>
      <c r="AK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7"/>
      <c r="Z584" s="36"/>
      <c r="AA584" s="37"/>
      <c r="AB584" s="37"/>
      <c r="AC584" s="37"/>
      <c r="AD584" s="36"/>
      <c r="AE584" s="36"/>
      <c r="AF584" s="36"/>
      <c r="AG584" s="36"/>
      <c r="AH584" s="36"/>
      <c r="AI584" s="36"/>
      <c r="AJ584" s="36"/>
      <c r="AK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7"/>
      <c r="Z585" s="36"/>
      <c r="AA585" s="37"/>
      <c r="AB585" s="37"/>
      <c r="AC585" s="37"/>
      <c r="AD585" s="36"/>
      <c r="AE585" s="36"/>
      <c r="AF585" s="36"/>
      <c r="AG585" s="36"/>
      <c r="AH585" s="36"/>
      <c r="AI585" s="36"/>
      <c r="AJ585" s="36"/>
      <c r="AK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7"/>
      <c r="Z586" s="36"/>
      <c r="AA586" s="37"/>
      <c r="AB586" s="37"/>
      <c r="AC586" s="37"/>
      <c r="AD586" s="36"/>
      <c r="AE586" s="36"/>
      <c r="AF586" s="36"/>
      <c r="AG586" s="36"/>
      <c r="AH586" s="36"/>
      <c r="AI586" s="36"/>
      <c r="AJ586" s="36"/>
      <c r="AK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7"/>
      <c r="Z587" s="36"/>
      <c r="AA587" s="37"/>
      <c r="AB587" s="37"/>
      <c r="AC587" s="37"/>
      <c r="AD587" s="36"/>
      <c r="AE587" s="36"/>
      <c r="AF587" s="36"/>
      <c r="AG587" s="36"/>
      <c r="AH587" s="36"/>
      <c r="AI587" s="36"/>
      <c r="AJ587" s="36"/>
      <c r="AK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7"/>
      <c r="Z588" s="36"/>
      <c r="AA588" s="37"/>
      <c r="AB588" s="37"/>
      <c r="AC588" s="37"/>
      <c r="AD588" s="36"/>
      <c r="AE588" s="36"/>
      <c r="AF588" s="36"/>
      <c r="AG588" s="36"/>
      <c r="AH588" s="36"/>
      <c r="AI588" s="36"/>
      <c r="AJ588" s="36"/>
      <c r="AK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7"/>
      <c r="Z589" s="36"/>
      <c r="AA589" s="37"/>
      <c r="AB589" s="37"/>
      <c r="AC589" s="37"/>
      <c r="AD589" s="36"/>
      <c r="AE589" s="36"/>
      <c r="AF589" s="36"/>
      <c r="AG589" s="36"/>
      <c r="AH589" s="36"/>
      <c r="AI589" s="36"/>
      <c r="AJ589" s="36"/>
      <c r="AK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7"/>
      <c r="Z590" s="36"/>
      <c r="AA590" s="37"/>
      <c r="AB590" s="37"/>
      <c r="AC590" s="37"/>
      <c r="AD590" s="36"/>
      <c r="AE590" s="36"/>
      <c r="AF590" s="36"/>
      <c r="AG590" s="36"/>
      <c r="AH590" s="36"/>
      <c r="AI590" s="36"/>
      <c r="AJ590" s="36"/>
      <c r="AK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7"/>
      <c r="Z591" s="36"/>
      <c r="AA591" s="37"/>
      <c r="AB591" s="37"/>
      <c r="AC591" s="37"/>
      <c r="AD591" s="36"/>
      <c r="AE591" s="36"/>
      <c r="AF591" s="36"/>
      <c r="AG591" s="36"/>
      <c r="AH591" s="36"/>
      <c r="AI591" s="36"/>
      <c r="AJ591" s="36"/>
      <c r="AK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7"/>
      <c r="Z592" s="36"/>
      <c r="AA592" s="37"/>
      <c r="AB592" s="37"/>
      <c r="AC592" s="37"/>
      <c r="AD592" s="36"/>
      <c r="AE592" s="36"/>
      <c r="AF592" s="36"/>
      <c r="AG592" s="36"/>
      <c r="AH592" s="36"/>
      <c r="AI592" s="36"/>
      <c r="AJ592" s="36"/>
      <c r="AK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7"/>
      <c r="Z593" s="36"/>
      <c r="AA593" s="37"/>
      <c r="AB593" s="37"/>
      <c r="AC593" s="37"/>
      <c r="AD593" s="36"/>
      <c r="AE593" s="36"/>
      <c r="AF593" s="36"/>
      <c r="AG593" s="36"/>
      <c r="AH593" s="36"/>
      <c r="AI593" s="36"/>
      <c r="AJ593" s="36"/>
      <c r="AK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7"/>
      <c r="Z594" s="36"/>
      <c r="AA594" s="37"/>
      <c r="AB594" s="37"/>
      <c r="AC594" s="37"/>
      <c r="AD594" s="36"/>
      <c r="AE594" s="36"/>
      <c r="AF594" s="36"/>
      <c r="AG594" s="36"/>
      <c r="AH594" s="36"/>
      <c r="AI594" s="36"/>
      <c r="AJ594" s="36"/>
      <c r="AK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7"/>
      <c r="Z595" s="36"/>
      <c r="AA595" s="37"/>
      <c r="AB595" s="37"/>
      <c r="AC595" s="37"/>
      <c r="AD595" s="36"/>
      <c r="AE595" s="36"/>
      <c r="AF595" s="36"/>
      <c r="AG595" s="36"/>
      <c r="AH595" s="36"/>
      <c r="AI595" s="36"/>
      <c r="AJ595" s="36"/>
      <c r="AK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7"/>
      <c r="Z596" s="36"/>
      <c r="AA596" s="37"/>
      <c r="AB596" s="37"/>
      <c r="AC596" s="37"/>
      <c r="AD596" s="36"/>
      <c r="AE596" s="36"/>
      <c r="AF596" s="36"/>
      <c r="AG596" s="36"/>
      <c r="AH596" s="36"/>
      <c r="AI596" s="36"/>
      <c r="AJ596" s="36"/>
      <c r="AK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7"/>
      <c r="Z597" s="36"/>
      <c r="AA597" s="37"/>
      <c r="AB597" s="37"/>
      <c r="AC597" s="37"/>
      <c r="AD597" s="36"/>
      <c r="AE597" s="36"/>
      <c r="AF597" s="36"/>
      <c r="AG597" s="36"/>
      <c r="AH597" s="36"/>
      <c r="AI597" s="36"/>
      <c r="AJ597" s="36"/>
      <c r="AK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7"/>
      <c r="Z598" s="36"/>
      <c r="AA598" s="37"/>
      <c r="AB598" s="37"/>
      <c r="AC598" s="37"/>
      <c r="AD598" s="36"/>
      <c r="AE598" s="36"/>
      <c r="AF598" s="36"/>
      <c r="AG598" s="36"/>
      <c r="AH598" s="36"/>
      <c r="AI598" s="36"/>
      <c r="AJ598" s="36"/>
      <c r="AK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7"/>
      <c r="Z599" s="36"/>
      <c r="AA599" s="37"/>
      <c r="AB599" s="37"/>
      <c r="AC599" s="37"/>
      <c r="AD599" s="36"/>
      <c r="AE599" s="36"/>
      <c r="AF599" s="36"/>
      <c r="AG599" s="36"/>
      <c r="AH599" s="36"/>
      <c r="AI599" s="36"/>
      <c r="AJ599" s="36"/>
      <c r="AK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7"/>
      <c r="Z600" s="36"/>
      <c r="AA600" s="37"/>
      <c r="AB600" s="37"/>
      <c r="AC600" s="37"/>
      <c r="AD600" s="36"/>
      <c r="AE600" s="36"/>
      <c r="AF600" s="36"/>
      <c r="AG600" s="36"/>
      <c r="AH600" s="36"/>
      <c r="AI600" s="36"/>
      <c r="AJ600" s="36"/>
      <c r="AK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7"/>
      <c r="Z601" s="36"/>
      <c r="AA601" s="37"/>
      <c r="AB601" s="37"/>
      <c r="AC601" s="37"/>
      <c r="AD601" s="36"/>
      <c r="AE601" s="36"/>
      <c r="AF601" s="36"/>
      <c r="AG601" s="36"/>
      <c r="AH601" s="36"/>
      <c r="AI601" s="36"/>
      <c r="AJ601" s="36"/>
      <c r="AK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7"/>
      <c r="Z602" s="36"/>
      <c r="AA602" s="37"/>
      <c r="AB602" s="37"/>
      <c r="AC602" s="37"/>
      <c r="AD602" s="36"/>
      <c r="AE602" s="36"/>
      <c r="AF602" s="36"/>
      <c r="AG602" s="36"/>
      <c r="AH602" s="36"/>
      <c r="AI602" s="36"/>
      <c r="AJ602" s="36"/>
      <c r="AK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7"/>
      <c r="Z603" s="36"/>
      <c r="AA603" s="37"/>
      <c r="AB603" s="37"/>
      <c r="AC603" s="37"/>
      <c r="AD603" s="36"/>
      <c r="AE603" s="36"/>
      <c r="AF603" s="36"/>
      <c r="AG603" s="36"/>
      <c r="AH603" s="36"/>
      <c r="AI603" s="36"/>
      <c r="AJ603" s="36"/>
      <c r="AK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7"/>
      <c r="Z604" s="36"/>
      <c r="AA604" s="37"/>
      <c r="AB604" s="37"/>
      <c r="AC604" s="37"/>
      <c r="AD604" s="36"/>
      <c r="AE604" s="36"/>
      <c r="AF604" s="36"/>
      <c r="AG604" s="36"/>
      <c r="AH604" s="36"/>
      <c r="AI604" s="36"/>
      <c r="AJ604" s="36"/>
      <c r="AK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7"/>
      <c r="Z605" s="36"/>
      <c r="AA605" s="37"/>
      <c r="AB605" s="37"/>
      <c r="AC605" s="37"/>
      <c r="AD605" s="36"/>
      <c r="AE605" s="36"/>
      <c r="AF605" s="36"/>
      <c r="AG605" s="36"/>
      <c r="AH605" s="36"/>
      <c r="AI605" s="36"/>
      <c r="AJ605" s="36"/>
      <c r="AK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7"/>
      <c r="Z606" s="36"/>
      <c r="AA606" s="37"/>
      <c r="AB606" s="37"/>
      <c r="AC606" s="37"/>
      <c r="AD606" s="36"/>
      <c r="AE606" s="36"/>
      <c r="AF606" s="36"/>
      <c r="AG606" s="36"/>
      <c r="AH606" s="36"/>
      <c r="AI606" s="36"/>
      <c r="AJ606" s="36"/>
      <c r="AK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7"/>
      <c r="Z607" s="36"/>
      <c r="AA607" s="37"/>
      <c r="AB607" s="37"/>
      <c r="AC607" s="37"/>
      <c r="AD607" s="36"/>
      <c r="AE607" s="36"/>
      <c r="AF607" s="36"/>
      <c r="AG607" s="36"/>
      <c r="AH607" s="36"/>
      <c r="AI607" s="36"/>
      <c r="AJ607" s="36"/>
      <c r="AK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7"/>
      <c r="Z608" s="36"/>
      <c r="AA608" s="37"/>
      <c r="AB608" s="37"/>
      <c r="AC608" s="37"/>
      <c r="AD608" s="36"/>
      <c r="AE608" s="36"/>
      <c r="AF608" s="36"/>
      <c r="AG608" s="36"/>
      <c r="AH608" s="36"/>
      <c r="AI608" s="36"/>
      <c r="AJ608" s="36"/>
      <c r="AK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7"/>
      <c r="Z609" s="36"/>
      <c r="AA609" s="37"/>
      <c r="AB609" s="37"/>
      <c r="AC609" s="37"/>
      <c r="AD609" s="36"/>
      <c r="AE609" s="36"/>
      <c r="AF609" s="36"/>
      <c r="AG609" s="36"/>
      <c r="AH609" s="36"/>
      <c r="AI609" s="36"/>
      <c r="AJ609" s="36"/>
      <c r="AK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7"/>
      <c r="Z610" s="36"/>
      <c r="AA610" s="37"/>
      <c r="AB610" s="37"/>
      <c r="AC610" s="37"/>
      <c r="AD610" s="36"/>
      <c r="AE610" s="36"/>
      <c r="AF610" s="36"/>
      <c r="AG610" s="36"/>
      <c r="AH610" s="36"/>
      <c r="AI610" s="36"/>
      <c r="AJ610" s="36"/>
      <c r="AK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7"/>
      <c r="Z611" s="36"/>
      <c r="AA611" s="37"/>
      <c r="AB611" s="37"/>
      <c r="AC611" s="37"/>
      <c r="AD611" s="36"/>
      <c r="AE611" s="36"/>
      <c r="AF611" s="36"/>
      <c r="AG611" s="36"/>
      <c r="AH611" s="36"/>
      <c r="AI611" s="36"/>
      <c r="AJ611" s="36"/>
      <c r="AK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7"/>
      <c r="Z612" s="36"/>
      <c r="AA612" s="37"/>
      <c r="AB612" s="37"/>
      <c r="AC612" s="37"/>
      <c r="AD612" s="36"/>
      <c r="AE612" s="36"/>
      <c r="AF612" s="36"/>
      <c r="AG612" s="36"/>
      <c r="AH612" s="36"/>
      <c r="AI612" s="36"/>
      <c r="AJ612" s="36"/>
      <c r="AK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7"/>
      <c r="Z613" s="36"/>
      <c r="AA613" s="37"/>
      <c r="AB613" s="37"/>
      <c r="AC613" s="37"/>
      <c r="AD613" s="36"/>
      <c r="AE613" s="36"/>
      <c r="AF613" s="36"/>
      <c r="AG613" s="36"/>
      <c r="AH613" s="36"/>
      <c r="AI613" s="36"/>
      <c r="AJ613" s="36"/>
      <c r="AK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7"/>
      <c r="Z614" s="36"/>
      <c r="AA614" s="37"/>
      <c r="AB614" s="37"/>
      <c r="AC614" s="37"/>
      <c r="AD614" s="36"/>
      <c r="AE614" s="36"/>
      <c r="AF614" s="36"/>
      <c r="AG614" s="36"/>
      <c r="AH614" s="36"/>
      <c r="AI614" s="36"/>
      <c r="AJ614" s="36"/>
      <c r="AK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7"/>
      <c r="Z615" s="36"/>
      <c r="AA615" s="37"/>
      <c r="AB615" s="37"/>
      <c r="AC615" s="37"/>
      <c r="AD615" s="36"/>
      <c r="AE615" s="36"/>
      <c r="AF615" s="36"/>
      <c r="AG615" s="36"/>
      <c r="AH615" s="36"/>
      <c r="AI615" s="36"/>
      <c r="AJ615" s="36"/>
      <c r="AK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7"/>
      <c r="Z616" s="36"/>
      <c r="AA616" s="37"/>
      <c r="AB616" s="37"/>
      <c r="AC616" s="37"/>
      <c r="AD616" s="36"/>
      <c r="AE616" s="36"/>
      <c r="AF616" s="36"/>
      <c r="AG616" s="36"/>
      <c r="AH616" s="36"/>
      <c r="AI616" s="36"/>
      <c r="AJ616" s="36"/>
      <c r="AK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7"/>
      <c r="Z617" s="36"/>
      <c r="AA617" s="37"/>
      <c r="AB617" s="37"/>
      <c r="AC617" s="37"/>
      <c r="AD617" s="36"/>
      <c r="AE617" s="36"/>
      <c r="AF617" s="36"/>
      <c r="AG617" s="36"/>
      <c r="AH617" s="36"/>
      <c r="AI617" s="36"/>
      <c r="AJ617" s="36"/>
      <c r="AK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7"/>
      <c r="Z618" s="36"/>
      <c r="AA618" s="37"/>
      <c r="AB618" s="37"/>
      <c r="AC618" s="37"/>
      <c r="AD618" s="36"/>
      <c r="AE618" s="36"/>
      <c r="AF618" s="36"/>
      <c r="AG618" s="36"/>
      <c r="AH618" s="36"/>
      <c r="AI618" s="36"/>
      <c r="AJ618" s="36"/>
      <c r="AK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7"/>
      <c r="Z619" s="36"/>
      <c r="AA619" s="37"/>
      <c r="AB619" s="37"/>
      <c r="AC619" s="37"/>
      <c r="AD619" s="36"/>
      <c r="AE619" s="36"/>
      <c r="AF619" s="36"/>
      <c r="AG619" s="36"/>
      <c r="AH619" s="36"/>
      <c r="AI619" s="36"/>
      <c r="AJ619" s="36"/>
      <c r="AK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7"/>
      <c r="Z620" s="36"/>
      <c r="AA620" s="37"/>
      <c r="AB620" s="37"/>
      <c r="AC620" s="37"/>
      <c r="AD620" s="36"/>
      <c r="AE620" s="36"/>
      <c r="AF620" s="36"/>
      <c r="AG620" s="36"/>
      <c r="AH620" s="36"/>
      <c r="AI620" s="36"/>
      <c r="AJ620" s="36"/>
      <c r="AK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7"/>
      <c r="Z621" s="36"/>
      <c r="AA621" s="37"/>
      <c r="AB621" s="37"/>
      <c r="AC621" s="37"/>
      <c r="AD621" s="36"/>
      <c r="AE621" s="36"/>
      <c r="AF621" s="36"/>
      <c r="AG621" s="36"/>
      <c r="AH621" s="36"/>
      <c r="AI621" s="36"/>
      <c r="AJ621" s="36"/>
      <c r="AK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7"/>
      <c r="Z622" s="36"/>
      <c r="AA622" s="37"/>
      <c r="AB622" s="37"/>
      <c r="AC622" s="37"/>
      <c r="AD622" s="36"/>
      <c r="AE622" s="36"/>
      <c r="AF622" s="36"/>
      <c r="AG622" s="36"/>
      <c r="AH622" s="36"/>
      <c r="AI622" s="36"/>
      <c r="AJ622" s="36"/>
      <c r="AK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7"/>
      <c r="Z623" s="36"/>
      <c r="AA623" s="37"/>
      <c r="AB623" s="37"/>
      <c r="AC623" s="37"/>
      <c r="AD623" s="36"/>
      <c r="AE623" s="36"/>
      <c r="AF623" s="36"/>
      <c r="AG623" s="36"/>
      <c r="AH623" s="36"/>
      <c r="AI623" s="36"/>
      <c r="AJ623" s="36"/>
      <c r="AK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7"/>
      <c r="Z624" s="36"/>
      <c r="AA624" s="37"/>
      <c r="AB624" s="37"/>
      <c r="AC624" s="37"/>
      <c r="AD624" s="36"/>
      <c r="AE624" s="36"/>
      <c r="AF624" s="36"/>
      <c r="AG624" s="36"/>
      <c r="AH624" s="36"/>
      <c r="AI624" s="36"/>
      <c r="AJ624" s="36"/>
      <c r="AK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7"/>
      <c r="Z625" s="36"/>
      <c r="AA625" s="37"/>
      <c r="AB625" s="37"/>
      <c r="AC625" s="37"/>
      <c r="AD625" s="36"/>
      <c r="AE625" s="36"/>
      <c r="AF625" s="36"/>
      <c r="AG625" s="36"/>
      <c r="AH625" s="36"/>
      <c r="AI625" s="36"/>
      <c r="AJ625" s="36"/>
      <c r="AK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7"/>
      <c r="Z626" s="36"/>
      <c r="AA626" s="37"/>
      <c r="AB626" s="37"/>
      <c r="AC626" s="37"/>
      <c r="AD626" s="36"/>
      <c r="AE626" s="36"/>
      <c r="AF626" s="36"/>
      <c r="AG626" s="36"/>
      <c r="AH626" s="36"/>
      <c r="AI626" s="36"/>
      <c r="AJ626" s="36"/>
      <c r="AK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7"/>
      <c r="Z627" s="36"/>
      <c r="AA627" s="37"/>
      <c r="AB627" s="37"/>
      <c r="AC627" s="37"/>
      <c r="AD627" s="36"/>
      <c r="AE627" s="36"/>
      <c r="AF627" s="36"/>
      <c r="AG627" s="36"/>
      <c r="AH627" s="36"/>
      <c r="AI627" s="36"/>
      <c r="AJ627" s="36"/>
      <c r="AK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7"/>
      <c r="Z628" s="36"/>
      <c r="AA628" s="37"/>
      <c r="AB628" s="37"/>
      <c r="AC628" s="37"/>
      <c r="AD628" s="36"/>
      <c r="AE628" s="36"/>
      <c r="AF628" s="36"/>
      <c r="AG628" s="36"/>
      <c r="AH628" s="36"/>
      <c r="AI628" s="36"/>
      <c r="AJ628" s="36"/>
      <c r="AK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7"/>
      <c r="Z629" s="36"/>
      <c r="AA629" s="37"/>
      <c r="AB629" s="37"/>
      <c r="AC629" s="37"/>
      <c r="AD629" s="36"/>
      <c r="AE629" s="36"/>
      <c r="AF629" s="36"/>
      <c r="AG629" s="36"/>
      <c r="AH629" s="36"/>
      <c r="AI629" s="36"/>
      <c r="AJ629" s="36"/>
      <c r="AK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7"/>
      <c r="Z630" s="36"/>
      <c r="AA630" s="37"/>
      <c r="AB630" s="37"/>
      <c r="AC630" s="37"/>
      <c r="AD630" s="36"/>
      <c r="AE630" s="36"/>
      <c r="AF630" s="36"/>
      <c r="AG630" s="36"/>
      <c r="AH630" s="36"/>
      <c r="AI630" s="36"/>
      <c r="AJ630" s="36"/>
      <c r="AK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7"/>
      <c r="Z631" s="36"/>
      <c r="AA631" s="37"/>
      <c r="AB631" s="37"/>
      <c r="AC631" s="37"/>
      <c r="AD631" s="36"/>
      <c r="AE631" s="36"/>
      <c r="AF631" s="36"/>
      <c r="AG631" s="36"/>
      <c r="AH631" s="36"/>
      <c r="AI631" s="36"/>
      <c r="AJ631" s="36"/>
      <c r="AK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7"/>
      <c r="Z632" s="36"/>
      <c r="AA632" s="37"/>
      <c r="AB632" s="37"/>
      <c r="AC632" s="37"/>
      <c r="AD632" s="36"/>
      <c r="AE632" s="36"/>
      <c r="AF632" s="36"/>
      <c r="AG632" s="36"/>
      <c r="AH632" s="36"/>
      <c r="AI632" s="36"/>
      <c r="AJ632" s="36"/>
      <c r="AK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7"/>
      <c r="Z633" s="36"/>
      <c r="AA633" s="37"/>
      <c r="AB633" s="37"/>
      <c r="AC633" s="37"/>
      <c r="AD633" s="36"/>
      <c r="AE633" s="36"/>
      <c r="AF633" s="36"/>
      <c r="AG633" s="36"/>
      <c r="AH633" s="36"/>
      <c r="AI633" s="36"/>
      <c r="AJ633" s="36"/>
      <c r="AK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7"/>
      <c r="Z634" s="36"/>
      <c r="AA634" s="37"/>
      <c r="AB634" s="37"/>
      <c r="AC634" s="37"/>
      <c r="AD634" s="36"/>
      <c r="AE634" s="36"/>
      <c r="AF634" s="36"/>
      <c r="AG634" s="36"/>
      <c r="AH634" s="36"/>
      <c r="AI634" s="36"/>
      <c r="AJ634" s="36"/>
      <c r="AK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7"/>
      <c r="Z635" s="36"/>
      <c r="AA635" s="37"/>
      <c r="AB635" s="37"/>
      <c r="AC635" s="37"/>
      <c r="AD635" s="36"/>
      <c r="AE635" s="36"/>
      <c r="AF635" s="36"/>
      <c r="AG635" s="36"/>
      <c r="AH635" s="36"/>
      <c r="AI635" s="36"/>
      <c r="AJ635" s="36"/>
      <c r="AK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7"/>
      <c r="Z636" s="36"/>
      <c r="AA636" s="37"/>
      <c r="AB636" s="37"/>
      <c r="AC636" s="37"/>
      <c r="AD636" s="36"/>
      <c r="AE636" s="36"/>
      <c r="AF636" s="36"/>
      <c r="AG636" s="36"/>
      <c r="AH636" s="36"/>
      <c r="AI636" s="36"/>
      <c r="AJ636" s="36"/>
      <c r="AK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7"/>
      <c r="Z637" s="36"/>
      <c r="AA637" s="37"/>
      <c r="AB637" s="37"/>
      <c r="AC637" s="37"/>
      <c r="AD637" s="36"/>
      <c r="AE637" s="36"/>
      <c r="AF637" s="36"/>
      <c r="AG637" s="36"/>
      <c r="AH637" s="36"/>
      <c r="AI637" s="36"/>
      <c r="AJ637" s="36"/>
      <c r="AK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7"/>
      <c r="Z638" s="36"/>
      <c r="AA638" s="37"/>
      <c r="AB638" s="37"/>
      <c r="AC638" s="37"/>
      <c r="AD638" s="36"/>
      <c r="AE638" s="36"/>
      <c r="AF638" s="36"/>
      <c r="AG638" s="36"/>
      <c r="AH638" s="36"/>
      <c r="AI638" s="36"/>
      <c r="AJ638" s="36"/>
      <c r="AK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7"/>
      <c r="Z639" s="36"/>
      <c r="AA639" s="37"/>
      <c r="AB639" s="37"/>
      <c r="AC639" s="37"/>
      <c r="AD639" s="36"/>
      <c r="AE639" s="36"/>
      <c r="AF639" s="36"/>
      <c r="AG639" s="36"/>
      <c r="AH639" s="36"/>
      <c r="AI639" s="36"/>
      <c r="AJ639" s="36"/>
      <c r="AK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7"/>
      <c r="Z640" s="36"/>
      <c r="AA640" s="37"/>
      <c r="AB640" s="37"/>
      <c r="AC640" s="37"/>
      <c r="AD640" s="36"/>
      <c r="AE640" s="36"/>
      <c r="AF640" s="36"/>
      <c r="AG640" s="36"/>
      <c r="AH640" s="36"/>
      <c r="AI640" s="36"/>
      <c r="AJ640" s="36"/>
      <c r="AK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7"/>
      <c r="Z641" s="36"/>
      <c r="AA641" s="37"/>
      <c r="AB641" s="37"/>
      <c r="AC641" s="37"/>
      <c r="AD641" s="36"/>
      <c r="AE641" s="36"/>
      <c r="AF641" s="36"/>
      <c r="AG641" s="36"/>
      <c r="AH641" s="36"/>
      <c r="AI641" s="36"/>
      <c r="AJ641" s="36"/>
      <c r="AK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7"/>
      <c r="Z642" s="36"/>
      <c r="AA642" s="37"/>
      <c r="AB642" s="37"/>
      <c r="AC642" s="37"/>
      <c r="AD642" s="36"/>
      <c r="AE642" s="36"/>
      <c r="AF642" s="36"/>
      <c r="AG642" s="36"/>
      <c r="AH642" s="36"/>
      <c r="AI642" s="36"/>
      <c r="AJ642" s="36"/>
      <c r="AK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7"/>
      <c r="Z643" s="36"/>
      <c r="AA643" s="37"/>
      <c r="AB643" s="37"/>
      <c r="AC643" s="37"/>
      <c r="AD643" s="36"/>
      <c r="AE643" s="36"/>
      <c r="AF643" s="36"/>
      <c r="AG643" s="36"/>
      <c r="AH643" s="36"/>
      <c r="AI643" s="36"/>
      <c r="AJ643" s="36"/>
      <c r="AK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7"/>
      <c r="Z644" s="36"/>
      <c r="AA644" s="37"/>
      <c r="AB644" s="37"/>
      <c r="AC644" s="37"/>
      <c r="AD644" s="36"/>
      <c r="AE644" s="36"/>
      <c r="AF644" s="36"/>
      <c r="AG644" s="36"/>
      <c r="AH644" s="36"/>
      <c r="AI644" s="36"/>
      <c r="AJ644" s="36"/>
      <c r="AK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7"/>
      <c r="Z645" s="36"/>
      <c r="AA645" s="37"/>
      <c r="AB645" s="37"/>
      <c r="AC645" s="37"/>
      <c r="AD645" s="36"/>
      <c r="AE645" s="36"/>
      <c r="AF645" s="36"/>
      <c r="AG645" s="36"/>
      <c r="AH645" s="36"/>
      <c r="AI645" s="36"/>
      <c r="AJ645" s="36"/>
      <c r="AK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7"/>
      <c r="Z646" s="36"/>
      <c r="AA646" s="37"/>
      <c r="AB646" s="37"/>
      <c r="AC646" s="37"/>
      <c r="AD646" s="36"/>
      <c r="AE646" s="36"/>
      <c r="AF646" s="36"/>
      <c r="AG646" s="36"/>
      <c r="AH646" s="36"/>
      <c r="AI646" s="36"/>
      <c r="AJ646" s="36"/>
      <c r="AK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7"/>
      <c r="Z647" s="36"/>
      <c r="AA647" s="37"/>
      <c r="AB647" s="37"/>
      <c r="AC647" s="37"/>
      <c r="AD647" s="36"/>
      <c r="AE647" s="36"/>
      <c r="AF647" s="36"/>
      <c r="AG647" s="36"/>
      <c r="AH647" s="36"/>
      <c r="AI647" s="36"/>
      <c r="AJ647" s="36"/>
      <c r="AK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7"/>
      <c r="Z648" s="36"/>
      <c r="AA648" s="37"/>
      <c r="AB648" s="37"/>
      <c r="AC648" s="37"/>
      <c r="AD648" s="36"/>
      <c r="AE648" s="36"/>
      <c r="AF648" s="36"/>
      <c r="AG648" s="36"/>
      <c r="AH648" s="36"/>
      <c r="AI648" s="36"/>
      <c r="AJ648" s="36"/>
      <c r="AK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7"/>
      <c r="Z649" s="36"/>
      <c r="AA649" s="37"/>
      <c r="AB649" s="37"/>
      <c r="AC649" s="37"/>
      <c r="AD649" s="36"/>
      <c r="AE649" s="36"/>
      <c r="AF649" s="36"/>
      <c r="AG649" s="36"/>
      <c r="AH649" s="36"/>
      <c r="AI649" s="36"/>
      <c r="AJ649" s="36"/>
      <c r="AK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7"/>
      <c r="Z650" s="36"/>
      <c r="AA650" s="37"/>
      <c r="AB650" s="37"/>
      <c r="AC650" s="37"/>
      <c r="AD650" s="36"/>
      <c r="AE650" s="36"/>
      <c r="AF650" s="36"/>
      <c r="AG650" s="36"/>
      <c r="AH650" s="36"/>
      <c r="AI650" s="36"/>
      <c r="AJ650" s="36"/>
      <c r="AK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7"/>
      <c r="Z651" s="36"/>
      <c r="AA651" s="37"/>
      <c r="AB651" s="37"/>
      <c r="AC651" s="37"/>
      <c r="AD651" s="36"/>
      <c r="AE651" s="36"/>
      <c r="AF651" s="36"/>
      <c r="AG651" s="36"/>
      <c r="AH651" s="36"/>
      <c r="AI651" s="36"/>
      <c r="AJ651" s="36"/>
      <c r="AK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7"/>
      <c r="Z652" s="36"/>
      <c r="AA652" s="37"/>
      <c r="AB652" s="37"/>
      <c r="AC652" s="37"/>
      <c r="AD652" s="36"/>
      <c r="AE652" s="36"/>
      <c r="AF652" s="36"/>
      <c r="AG652" s="36"/>
      <c r="AH652" s="36"/>
      <c r="AI652" s="36"/>
      <c r="AJ652" s="36"/>
      <c r="AK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7"/>
      <c r="Z653" s="36"/>
      <c r="AA653" s="37"/>
      <c r="AB653" s="37"/>
      <c r="AC653" s="37"/>
      <c r="AD653" s="36"/>
      <c r="AE653" s="36"/>
      <c r="AF653" s="36"/>
      <c r="AG653" s="36"/>
      <c r="AH653" s="36"/>
      <c r="AI653" s="36"/>
      <c r="AJ653" s="36"/>
      <c r="AK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7"/>
      <c r="Z654" s="36"/>
      <c r="AA654" s="37"/>
      <c r="AB654" s="37"/>
      <c r="AC654" s="37"/>
      <c r="AD654" s="36"/>
      <c r="AE654" s="36"/>
      <c r="AF654" s="36"/>
      <c r="AG654" s="36"/>
      <c r="AH654" s="36"/>
      <c r="AI654" s="36"/>
      <c r="AJ654" s="36"/>
      <c r="AK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7"/>
      <c r="Z655" s="36"/>
      <c r="AA655" s="37"/>
      <c r="AB655" s="37"/>
      <c r="AC655" s="37"/>
      <c r="AD655" s="36"/>
      <c r="AE655" s="36"/>
      <c r="AF655" s="36"/>
      <c r="AG655" s="36"/>
      <c r="AH655" s="36"/>
      <c r="AI655" s="36"/>
      <c r="AJ655" s="36"/>
      <c r="AK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7"/>
      <c r="Z656" s="36"/>
      <c r="AA656" s="37"/>
      <c r="AB656" s="37"/>
      <c r="AC656" s="37"/>
      <c r="AD656" s="36"/>
      <c r="AE656" s="36"/>
      <c r="AF656" s="36"/>
      <c r="AG656" s="36"/>
      <c r="AH656" s="36"/>
      <c r="AI656" s="36"/>
      <c r="AJ656" s="36"/>
      <c r="AK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7"/>
      <c r="Z657" s="36"/>
      <c r="AA657" s="37"/>
      <c r="AB657" s="37"/>
      <c r="AC657" s="37"/>
      <c r="AD657" s="36"/>
      <c r="AE657" s="36"/>
      <c r="AF657" s="36"/>
      <c r="AG657" s="36"/>
      <c r="AH657" s="36"/>
      <c r="AI657" s="36"/>
      <c r="AJ657" s="36"/>
      <c r="AK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7"/>
      <c r="Z658" s="36"/>
      <c r="AA658" s="37"/>
      <c r="AB658" s="37"/>
      <c r="AC658" s="37"/>
      <c r="AD658" s="36"/>
      <c r="AE658" s="36"/>
      <c r="AF658" s="36"/>
      <c r="AG658" s="36"/>
      <c r="AH658" s="36"/>
      <c r="AI658" s="36"/>
      <c r="AJ658" s="36"/>
      <c r="AK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7"/>
      <c r="Z659" s="36"/>
      <c r="AA659" s="37"/>
      <c r="AB659" s="37"/>
      <c r="AC659" s="37"/>
      <c r="AD659" s="36"/>
      <c r="AE659" s="36"/>
      <c r="AF659" s="36"/>
      <c r="AG659" s="36"/>
      <c r="AH659" s="36"/>
      <c r="AI659" s="36"/>
      <c r="AJ659" s="36"/>
      <c r="AK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7"/>
      <c r="Z660" s="36"/>
      <c r="AA660" s="37"/>
      <c r="AB660" s="37"/>
      <c r="AC660" s="37"/>
      <c r="AD660" s="36"/>
      <c r="AE660" s="36"/>
      <c r="AF660" s="36"/>
      <c r="AG660" s="36"/>
      <c r="AH660" s="36"/>
      <c r="AI660" s="36"/>
      <c r="AJ660" s="36"/>
      <c r="AK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7"/>
      <c r="Z661" s="36"/>
      <c r="AA661" s="37"/>
      <c r="AB661" s="37"/>
      <c r="AC661" s="37"/>
      <c r="AD661" s="36"/>
      <c r="AE661" s="36"/>
      <c r="AF661" s="36"/>
      <c r="AG661" s="36"/>
      <c r="AH661" s="36"/>
      <c r="AI661" s="36"/>
      <c r="AJ661" s="36"/>
      <c r="AK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7"/>
      <c r="Z662" s="36"/>
      <c r="AA662" s="37"/>
      <c r="AB662" s="37"/>
      <c r="AC662" s="37"/>
      <c r="AD662" s="36"/>
      <c r="AE662" s="36"/>
      <c r="AF662" s="36"/>
      <c r="AG662" s="36"/>
      <c r="AH662" s="36"/>
      <c r="AI662" s="36"/>
      <c r="AJ662" s="36"/>
      <c r="AK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7"/>
      <c r="Z663" s="36"/>
      <c r="AA663" s="37"/>
      <c r="AB663" s="37"/>
      <c r="AC663" s="37"/>
      <c r="AD663" s="36"/>
      <c r="AE663" s="36"/>
      <c r="AF663" s="36"/>
      <c r="AG663" s="36"/>
      <c r="AH663" s="36"/>
      <c r="AI663" s="36"/>
      <c r="AJ663" s="36"/>
      <c r="AK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7"/>
      <c r="Z664" s="36"/>
      <c r="AA664" s="37"/>
      <c r="AB664" s="37"/>
      <c r="AC664" s="37"/>
      <c r="AD664" s="36"/>
      <c r="AE664" s="36"/>
      <c r="AF664" s="36"/>
      <c r="AG664" s="36"/>
      <c r="AH664" s="36"/>
      <c r="AI664" s="36"/>
      <c r="AJ664" s="36"/>
      <c r="AK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7"/>
      <c r="Z665" s="36"/>
      <c r="AA665" s="37"/>
      <c r="AB665" s="37"/>
      <c r="AC665" s="37"/>
      <c r="AD665" s="36"/>
      <c r="AE665" s="36"/>
      <c r="AF665" s="36"/>
      <c r="AG665" s="36"/>
      <c r="AH665" s="36"/>
      <c r="AI665" s="36"/>
      <c r="AJ665" s="36"/>
      <c r="AK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7"/>
      <c r="Z666" s="36"/>
      <c r="AA666" s="37"/>
      <c r="AB666" s="37"/>
      <c r="AC666" s="37"/>
      <c r="AD666" s="36"/>
      <c r="AE666" s="36"/>
      <c r="AF666" s="36"/>
      <c r="AG666" s="36"/>
      <c r="AH666" s="36"/>
      <c r="AI666" s="36"/>
      <c r="AJ666" s="36"/>
      <c r="AK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7"/>
      <c r="Z667" s="36"/>
      <c r="AA667" s="37"/>
      <c r="AB667" s="37"/>
      <c r="AC667" s="37"/>
      <c r="AD667" s="36"/>
      <c r="AE667" s="36"/>
      <c r="AF667" s="36"/>
      <c r="AG667" s="36"/>
      <c r="AH667" s="36"/>
      <c r="AI667" s="36"/>
      <c r="AJ667" s="36"/>
      <c r="AK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7"/>
      <c r="Z668" s="36"/>
      <c r="AA668" s="37"/>
      <c r="AB668" s="37"/>
      <c r="AC668" s="37"/>
      <c r="AD668" s="36"/>
      <c r="AE668" s="36"/>
      <c r="AF668" s="36"/>
      <c r="AG668" s="36"/>
      <c r="AH668" s="36"/>
      <c r="AI668" s="36"/>
      <c r="AJ668" s="36"/>
      <c r="AK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7"/>
      <c r="Z669" s="36"/>
      <c r="AA669" s="37"/>
      <c r="AB669" s="37"/>
      <c r="AC669" s="37"/>
      <c r="AD669" s="36"/>
      <c r="AE669" s="36"/>
      <c r="AF669" s="36"/>
      <c r="AG669" s="36"/>
      <c r="AH669" s="36"/>
      <c r="AI669" s="36"/>
      <c r="AJ669" s="36"/>
      <c r="AK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7"/>
      <c r="Z670" s="36"/>
      <c r="AA670" s="37"/>
      <c r="AB670" s="37"/>
      <c r="AC670" s="37"/>
      <c r="AD670" s="36"/>
      <c r="AE670" s="36"/>
      <c r="AF670" s="36"/>
      <c r="AG670" s="36"/>
      <c r="AH670" s="36"/>
      <c r="AI670" s="36"/>
      <c r="AJ670" s="36"/>
      <c r="AK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7"/>
      <c r="Z671" s="36"/>
      <c r="AA671" s="37"/>
      <c r="AB671" s="37"/>
      <c r="AC671" s="37"/>
      <c r="AD671" s="36"/>
      <c r="AE671" s="36"/>
      <c r="AF671" s="36"/>
      <c r="AG671" s="36"/>
      <c r="AH671" s="36"/>
      <c r="AI671" s="36"/>
      <c r="AJ671" s="36"/>
      <c r="AK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7"/>
      <c r="Z672" s="36"/>
      <c r="AA672" s="37"/>
      <c r="AB672" s="37"/>
      <c r="AC672" s="37"/>
      <c r="AD672" s="36"/>
      <c r="AE672" s="36"/>
      <c r="AF672" s="36"/>
      <c r="AG672" s="36"/>
      <c r="AH672" s="36"/>
      <c r="AI672" s="36"/>
      <c r="AJ672" s="36"/>
      <c r="AK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7"/>
      <c r="Z673" s="36"/>
      <c r="AA673" s="37"/>
      <c r="AB673" s="37"/>
      <c r="AC673" s="37"/>
      <c r="AD673" s="36"/>
      <c r="AE673" s="36"/>
      <c r="AF673" s="36"/>
      <c r="AG673" s="36"/>
      <c r="AH673" s="36"/>
      <c r="AI673" s="36"/>
      <c r="AJ673" s="36"/>
      <c r="AK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7"/>
      <c r="Z674" s="36"/>
      <c r="AA674" s="37"/>
      <c r="AB674" s="37"/>
      <c r="AC674" s="37"/>
      <c r="AD674" s="36"/>
      <c r="AE674" s="36"/>
      <c r="AF674" s="36"/>
      <c r="AG674" s="36"/>
      <c r="AH674" s="36"/>
      <c r="AI674" s="36"/>
      <c r="AJ674" s="36"/>
      <c r="AK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7"/>
      <c r="Z675" s="36"/>
      <c r="AA675" s="37"/>
      <c r="AB675" s="37"/>
      <c r="AC675" s="37"/>
      <c r="AD675" s="36"/>
      <c r="AE675" s="36"/>
      <c r="AF675" s="36"/>
      <c r="AG675" s="36"/>
      <c r="AH675" s="36"/>
      <c r="AI675" s="36"/>
      <c r="AJ675" s="36"/>
      <c r="AK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7"/>
      <c r="Z676" s="36"/>
      <c r="AA676" s="37"/>
      <c r="AB676" s="37"/>
      <c r="AC676" s="37"/>
      <c r="AD676" s="36"/>
      <c r="AE676" s="36"/>
      <c r="AF676" s="36"/>
      <c r="AG676" s="36"/>
      <c r="AH676" s="36"/>
      <c r="AI676" s="36"/>
      <c r="AJ676" s="36"/>
      <c r="AK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7"/>
      <c r="Z677" s="36"/>
      <c r="AA677" s="37"/>
      <c r="AB677" s="37"/>
      <c r="AC677" s="37"/>
      <c r="AD677" s="36"/>
      <c r="AE677" s="36"/>
      <c r="AF677" s="36"/>
      <c r="AG677" s="36"/>
      <c r="AH677" s="36"/>
      <c r="AI677" s="36"/>
      <c r="AJ677" s="36"/>
      <c r="AK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7"/>
      <c r="Z678" s="36"/>
      <c r="AA678" s="37"/>
      <c r="AB678" s="37"/>
      <c r="AC678" s="37"/>
      <c r="AD678" s="36"/>
      <c r="AE678" s="36"/>
      <c r="AF678" s="36"/>
      <c r="AG678" s="36"/>
      <c r="AH678" s="36"/>
      <c r="AI678" s="36"/>
      <c r="AJ678" s="36"/>
      <c r="AK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7"/>
      <c r="Z679" s="36"/>
      <c r="AA679" s="37"/>
      <c r="AB679" s="37"/>
      <c r="AC679" s="37"/>
      <c r="AD679" s="36"/>
      <c r="AE679" s="36"/>
      <c r="AF679" s="36"/>
      <c r="AG679" s="36"/>
      <c r="AH679" s="36"/>
      <c r="AI679" s="36"/>
      <c r="AJ679" s="36"/>
      <c r="AK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7"/>
      <c r="Z680" s="36"/>
      <c r="AA680" s="37"/>
      <c r="AB680" s="37"/>
      <c r="AC680" s="37"/>
      <c r="AD680" s="36"/>
      <c r="AE680" s="36"/>
      <c r="AF680" s="36"/>
      <c r="AG680" s="36"/>
      <c r="AH680" s="36"/>
      <c r="AI680" s="36"/>
      <c r="AJ680" s="36"/>
      <c r="AK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7"/>
      <c r="Z681" s="36"/>
      <c r="AA681" s="37"/>
      <c r="AB681" s="37"/>
      <c r="AC681" s="37"/>
      <c r="AD681" s="36"/>
      <c r="AE681" s="36"/>
      <c r="AF681" s="36"/>
      <c r="AG681" s="36"/>
      <c r="AH681" s="36"/>
      <c r="AI681" s="36"/>
      <c r="AJ681" s="36"/>
      <c r="AK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7"/>
      <c r="Z682" s="36"/>
      <c r="AA682" s="37"/>
      <c r="AB682" s="37"/>
      <c r="AC682" s="37"/>
      <c r="AD682" s="36"/>
      <c r="AE682" s="36"/>
      <c r="AF682" s="36"/>
      <c r="AG682" s="36"/>
      <c r="AH682" s="36"/>
      <c r="AI682" s="36"/>
      <c r="AJ682" s="36"/>
      <c r="AK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7"/>
      <c r="Z683" s="36"/>
      <c r="AA683" s="37"/>
      <c r="AB683" s="37"/>
      <c r="AC683" s="37"/>
      <c r="AD683" s="36"/>
      <c r="AE683" s="36"/>
      <c r="AF683" s="36"/>
      <c r="AG683" s="36"/>
      <c r="AH683" s="36"/>
      <c r="AI683" s="36"/>
      <c r="AJ683" s="36"/>
      <c r="AK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7"/>
      <c r="Z684" s="36"/>
      <c r="AA684" s="37"/>
      <c r="AB684" s="37"/>
      <c r="AC684" s="37"/>
      <c r="AD684" s="36"/>
      <c r="AE684" s="36"/>
      <c r="AF684" s="36"/>
      <c r="AG684" s="36"/>
      <c r="AH684" s="36"/>
      <c r="AI684" s="36"/>
      <c r="AJ684" s="36"/>
      <c r="AK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7"/>
      <c r="Z685" s="36"/>
      <c r="AA685" s="37"/>
      <c r="AB685" s="37"/>
      <c r="AC685" s="37"/>
      <c r="AD685" s="36"/>
      <c r="AE685" s="36"/>
      <c r="AF685" s="36"/>
      <c r="AG685" s="36"/>
      <c r="AH685" s="36"/>
      <c r="AI685" s="36"/>
      <c r="AJ685" s="36"/>
      <c r="AK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7"/>
      <c r="Z686" s="36"/>
      <c r="AA686" s="37"/>
      <c r="AB686" s="37"/>
      <c r="AC686" s="37"/>
      <c r="AD686" s="36"/>
      <c r="AE686" s="36"/>
      <c r="AF686" s="36"/>
      <c r="AG686" s="36"/>
      <c r="AH686" s="36"/>
      <c r="AI686" s="36"/>
      <c r="AJ686" s="36"/>
      <c r="AK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7"/>
      <c r="Z687" s="36"/>
      <c r="AA687" s="37"/>
      <c r="AB687" s="37"/>
      <c r="AC687" s="37"/>
      <c r="AD687" s="36"/>
      <c r="AE687" s="36"/>
      <c r="AF687" s="36"/>
      <c r="AG687" s="36"/>
      <c r="AH687" s="36"/>
      <c r="AI687" s="36"/>
      <c r="AJ687" s="36"/>
      <c r="AK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7"/>
      <c r="Z688" s="36"/>
      <c r="AA688" s="37"/>
      <c r="AB688" s="37"/>
      <c r="AC688" s="37"/>
      <c r="AD688" s="36"/>
      <c r="AE688" s="36"/>
      <c r="AF688" s="36"/>
      <c r="AG688" s="36"/>
      <c r="AH688" s="36"/>
      <c r="AI688" s="36"/>
      <c r="AJ688" s="36"/>
      <c r="AK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7"/>
      <c r="Z689" s="36"/>
      <c r="AA689" s="37"/>
      <c r="AB689" s="37"/>
      <c r="AC689" s="37"/>
      <c r="AD689" s="36"/>
      <c r="AE689" s="36"/>
      <c r="AF689" s="36"/>
      <c r="AG689" s="36"/>
      <c r="AH689" s="36"/>
      <c r="AI689" s="36"/>
      <c r="AJ689" s="36"/>
      <c r="AK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7"/>
      <c r="Z690" s="36"/>
      <c r="AA690" s="37"/>
      <c r="AB690" s="37"/>
      <c r="AC690" s="37"/>
      <c r="AD690" s="36"/>
      <c r="AE690" s="36"/>
      <c r="AF690" s="36"/>
      <c r="AG690" s="36"/>
      <c r="AH690" s="36"/>
      <c r="AI690" s="36"/>
      <c r="AJ690" s="36"/>
      <c r="AK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7"/>
      <c r="Z691" s="36"/>
      <c r="AA691" s="37"/>
      <c r="AB691" s="37"/>
      <c r="AC691" s="37"/>
      <c r="AD691" s="36"/>
      <c r="AE691" s="36"/>
      <c r="AF691" s="36"/>
      <c r="AG691" s="36"/>
      <c r="AH691" s="36"/>
      <c r="AI691" s="36"/>
      <c r="AJ691" s="36"/>
      <c r="AK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7"/>
      <c r="Z692" s="36"/>
      <c r="AA692" s="37"/>
      <c r="AB692" s="37"/>
      <c r="AC692" s="37"/>
      <c r="AD692" s="36"/>
      <c r="AE692" s="36"/>
      <c r="AF692" s="36"/>
      <c r="AG692" s="36"/>
      <c r="AH692" s="36"/>
      <c r="AI692" s="36"/>
      <c r="AJ692" s="36"/>
      <c r="AK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7"/>
      <c r="Z693" s="36"/>
      <c r="AA693" s="37"/>
      <c r="AB693" s="37"/>
      <c r="AC693" s="37"/>
      <c r="AD693" s="36"/>
      <c r="AE693" s="36"/>
      <c r="AF693" s="36"/>
      <c r="AG693" s="36"/>
      <c r="AH693" s="36"/>
      <c r="AI693" s="36"/>
      <c r="AJ693" s="36"/>
      <c r="AK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7"/>
      <c r="Z694" s="36"/>
      <c r="AA694" s="37"/>
      <c r="AB694" s="37"/>
      <c r="AC694" s="37"/>
      <c r="AD694" s="36"/>
      <c r="AE694" s="36"/>
      <c r="AF694" s="36"/>
      <c r="AG694" s="36"/>
      <c r="AH694" s="36"/>
      <c r="AI694" s="36"/>
      <c r="AJ694" s="36"/>
      <c r="AK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7"/>
      <c r="Z695" s="36"/>
      <c r="AA695" s="37"/>
      <c r="AB695" s="37"/>
      <c r="AC695" s="37"/>
      <c r="AD695" s="36"/>
      <c r="AE695" s="36"/>
      <c r="AF695" s="36"/>
      <c r="AG695" s="36"/>
      <c r="AH695" s="36"/>
      <c r="AI695" s="36"/>
      <c r="AJ695" s="36"/>
      <c r="AK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7"/>
      <c r="Z696" s="36"/>
      <c r="AA696" s="37"/>
      <c r="AB696" s="37"/>
      <c r="AC696" s="37"/>
      <c r="AD696" s="36"/>
      <c r="AE696" s="36"/>
      <c r="AF696" s="36"/>
      <c r="AG696" s="36"/>
      <c r="AH696" s="36"/>
      <c r="AI696" s="36"/>
      <c r="AJ696" s="36"/>
      <c r="AK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7"/>
      <c r="Z697" s="36"/>
      <c r="AA697" s="37"/>
      <c r="AB697" s="37"/>
      <c r="AC697" s="37"/>
      <c r="AD697" s="36"/>
      <c r="AE697" s="36"/>
      <c r="AF697" s="36"/>
      <c r="AG697" s="36"/>
      <c r="AH697" s="36"/>
      <c r="AI697" s="36"/>
      <c r="AJ697" s="36"/>
      <c r="AK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7"/>
      <c r="Z698" s="36"/>
      <c r="AA698" s="37"/>
      <c r="AB698" s="37"/>
      <c r="AC698" s="37"/>
      <c r="AD698" s="36"/>
      <c r="AE698" s="36"/>
      <c r="AF698" s="36"/>
      <c r="AG698" s="36"/>
      <c r="AH698" s="36"/>
      <c r="AI698" s="36"/>
      <c r="AJ698" s="36"/>
      <c r="AK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7"/>
      <c r="Z699" s="36"/>
      <c r="AA699" s="37"/>
      <c r="AB699" s="37"/>
      <c r="AC699" s="37"/>
      <c r="AD699" s="36"/>
      <c r="AE699" s="36"/>
      <c r="AF699" s="36"/>
      <c r="AG699" s="36"/>
      <c r="AH699" s="36"/>
      <c r="AI699" s="36"/>
      <c r="AJ699" s="36"/>
      <c r="AK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7"/>
      <c r="Z700" s="36"/>
      <c r="AA700" s="37"/>
      <c r="AB700" s="37"/>
      <c r="AC700" s="37"/>
      <c r="AD700" s="36"/>
      <c r="AE700" s="36"/>
      <c r="AF700" s="36"/>
      <c r="AG700" s="36"/>
      <c r="AH700" s="36"/>
      <c r="AI700" s="36"/>
      <c r="AJ700" s="36"/>
      <c r="AK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7"/>
      <c r="Z701" s="36"/>
      <c r="AA701" s="37"/>
      <c r="AB701" s="37"/>
      <c r="AC701" s="37"/>
      <c r="AD701" s="36"/>
      <c r="AE701" s="36"/>
      <c r="AF701" s="36"/>
      <c r="AG701" s="36"/>
      <c r="AH701" s="36"/>
      <c r="AI701" s="36"/>
      <c r="AJ701" s="36"/>
      <c r="AK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7"/>
      <c r="Z702" s="36"/>
      <c r="AA702" s="37"/>
      <c r="AB702" s="37"/>
      <c r="AC702" s="37"/>
      <c r="AD702" s="36"/>
      <c r="AE702" s="36"/>
      <c r="AF702" s="36"/>
      <c r="AG702" s="36"/>
      <c r="AH702" s="36"/>
      <c r="AI702" s="36"/>
      <c r="AJ702" s="36"/>
      <c r="AK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7"/>
      <c r="Z703" s="36"/>
      <c r="AA703" s="37"/>
      <c r="AB703" s="37"/>
      <c r="AC703" s="37"/>
      <c r="AD703" s="36"/>
      <c r="AE703" s="36"/>
      <c r="AF703" s="36"/>
      <c r="AG703" s="36"/>
      <c r="AH703" s="36"/>
      <c r="AI703" s="36"/>
      <c r="AJ703" s="36"/>
      <c r="AK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7"/>
      <c r="Z704" s="36"/>
      <c r="AA704" s="37"/>
      <c r="AB704" s="37"/>
      <c r="AC704" s="37"/>
      <c r="AD704" s="36"/>
      <c r="AE704" s="36"/>
      <c r="AF704" s="36"/>
      <c r="AG704" s="36"/>
      <c r="AH704" s="36"/>
      <c r="AI704" s="36"/>
      <c r="AJ704" s="36"/>
      <c r="AK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7"/>
      <c r="Z705" s="36"/>
      <c r="AA705" s="37"/>
      <c r="AB705" s="37"/>
      <c r="AC705" s="37"/>
      <c r="AD705" s="36"/>
      <c r="AE705" s="36"/>
      <c r="AF705" s="36"/>
      <c r="AG705" s="36"/>
      <c r="AH705" s="36"/>
      <c r="AI705" s="36"/>
      <c r="AJ705" s="36"/>
      <c r="AK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7"/>
      <c r="Z706" s="36"/>
      <c r="AA706" s="37"/>
      <c r="AB706" s="37"/>
      <c r="AC706" s="37"/>
      <c r="AD706" s="36"/>
      <c r="AE706" s="36"/>
      <c r="AF706" s="36"/>
      <c r="AG706" s="36"/>
      <c r="AH706" s="36"/>
      <c r="AI706" s="36"/>
      <c r="AJ706" s="36"/>
      <c r="AK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7"/>
      <c r="Z707" s="36"/>
      <c r="AA707" s="37"/>
      <c r="AB707" s="37"/>
      <c r="AC707" s="37"/>
      <c r="AD707" s="36"/>
      <c r="AE707" s="36"/>
      <c r="AF707" s="36"/>
      <c r="AG707" s="36"/>
      <c r="AH707" s="36"/>
      <c r="AI707" s="36"/>
      <c r="AJ707" s="36"/>
      <c r="AK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7"/>
      <c r="Z708" s="36"/>
      <c r="AA708" s="37"/>
      <c r="AB708" s="37"/>
      <c r="AC708" s="37"/>
      <c r="AD708" s="36"/>
      <c r="AE708" s="36"/>
      <c r="AF708" s="36"/>
      <c r="AG708" s="36"/>
      <c r="AH708" s="36"/>
      <c r="AI708" s="36"/>
      <c r="AJ708" s="36"/>
      <c r="AK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7"/>
      <c r="Z709" s="36"/>
      <c r="AA709" s="37"/>
      <c r="AB709" s="37"/>
      <c r="AC709" s="37"/>
      <c r="AD709" s="36"/>
      <c r="AE709" s="36"/>
      <c r="AF709" s="36"/>
      <c r="AG709" s="36"/>
      <c r="AH709" s="36"/>
      <c r="AI709" s="36"/>
      <c r="AJ709" s="36"/>
      <c r="AK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7"/>
      <c r="Z710" s="36"/>
      <c r="AA710" s="37"/>
      <c r="AB710" s="37"/>
      <c r="AC710" s="37"/>
      <c r="AD710" s="36"/>
      <c r="AE710" s="36"/>
      <c r="AF710" s="36"/>
      <c r="AG710" s="36"/>
      <c r="AH710" s="36"/>
      <c r="AI710" s="36"/>
      <c r="AJ710" s="36"/>
      <c r="AK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7"/>
      <c r="Z711" s="36"/>
      <c r="AA711" s="37"/>
      <c r="AB711" s="37"/>
      <c r="AC711" s="37"/>
      <c r="AD711" s="36"/>
      <c r="AE711" s="36"/>
      <c r="AF711" s="36"/>
      <c r="AG711" s="36"/>
      <c r="AH711" s="36"/>
      <c r="AI711" s="36"/>
      <c r="AJ711" s="36"/>
      <c r="AK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7"/>
      <c r="Z712" s="36"/>
      <c r="AA712" s="37"/>
      <c r="AB712" s="37"/>
      <c r="AC712" s="37"/>
      <c r="AD712" s="36"/>
      <c r="AE712" s="36"/>
      <c r="AF712" s="36"/>
      <c r="AG712" s="36"/>
      <c r="AH712" s="36"/>
      <c r="AI712" s="36"/>
      <c r="AJ712" s="36"/>
      <c r="AK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7"/>
      <c r="Z713" s="36"/>
      <c r="AA713" s="37"/>
      <c r="AB713" s="37"/>
      <c r="AC713" s="37"/>
      <c r="AD713" s="36"/>
      <c r="AE713" s="36"/>
      <c r="AF713" s="36"/>
      <c r="AG713" s="36"/>
      <c r="AH713" s="36"/>
      <c r="AI713" s="36"/>
      <c r="AJ713" s="36"/>
      <c r="AK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7"/>
      <c r="Z714" s="36"/>
      <c r="AA714" s="37"/>
      <c r="AB714" s="37"/>
      <c r="AC714" s="37"/>
      <c r="AD714" s="36"/>
      <c r="AE714" s="36"/>
      <c r="AF714" s="36"/>
      <c r="AG714" s="36"/>
      <c r="AH714" s="36"/>
      <c r="AI714" s="36"/>
      <c r="AJ714" s="36"/>
      <c r="AK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7"/>
      <c r="Z715" s="36"/>
      <c r="AA715" s="37"/>
      <c r="AB715" s="37"/>
      <c r="AC715" s="37"/>
      <c r="AD715" s="36"/>
      <c r="AE715" s="36"/>
      <c r="AF715" s="36"/>
      <c r="AG715" s="36"/>
      <c r="AH715" s="36"/>
      <c r="AI715" s="36"/>
      <c r="AJ715" s="36"/>
      <c r="AK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7"/>
      <c r="Z716" s="36"/>
      <c r="AA716" s="37"/>
      <c r="AB716" s="37"/>
      <c r="AC716" s="37"/>
      <c r="AD716" s="36"/>
      <c r="AE716" s="36"/>
      <c r="AF716" s="36"/>
      <c r="AG716" s="36"/>
      <c r="AH716" s="36"/>
      <c r="AI716" s="36"/>
      <c r="AJ716" s="36"/>
      <c r="AK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7"/>
      <c r="Z717" s="36"/>
      <c r="AA717" s="37"/>
      <c r="AB717" s="37"/>
      <c r="AC717" s="37"/>
      <c r="AD717" s="36"/>
      <c r="AE717" s="36"/>
      <c r="AF717" s="36"/>
      <c r="AG717" s="36"/>
      <c r="AH717" s="36"/>
      <c r="AI717" s="36"/>
      <c r="AJ717" s="36"/>
      <c r="AK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7"/>
      <c r="Z718" s="36"/>
      <c r="AA718" s="37"/>
      <c r="AB718" s="37"/>
      <c r="AC718" s="37"/>
      <c r="AD718" s="36"/>
      <c r="AE718" s="36"/>
      <c r="AF718" s="36"/>
      <c r="AG718" s="36"/>
      <c r="AH718" s="36"/>
      <c r="AI718" s="36"/>
      <c r="AJ718" s="36"/>
      <c r="AK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7"/>
      <c r="Z719" s="36"/>
      <c r="AA719" s="37"/>
      <c r="AB719" s="37"/>
      <c r="AC719" s="37"/>
      <c r="AD719" s="36"/>
      <c r="AE719" s="36"/>
      <c r="AF719" s="36"/>
      <c r="AG719" s="36"/>
      <c r="AH719" s="36"/>
      <c r="AI719" s="36"/>
      <c r="AJ719" s="36"/>
      <c r="AK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7"/>
      <c r="Z720" s="36"/>
      <c r="AA720" s="37"/>
      <c r="AB720" s="37"/>
      <c r="AC720" s="37"/>
      <c r="AD720" s="36"/>
      <c r="AE720" s="36"/>
      <c r="AF720" s="36"/>
      <c r="AG720" s="36"/>
      <c r="AH720" s="36"/>
      <c r="AI720" s="36"/>
      <c r="AJ720" s="36"/>
      <c r="AK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7"/>
      <c r="Z721" s="36"/>
      <c r="AA721" s="37"/>
      <c r="AB721" s="37"/>
      <c r="AC721" s="37"/>
      <c r="AD721" s="36"/>
      <c r="AE721" s="36"/>
      <c r="AF721" s="36"/>
      <c r="AG721" s="36"/>
      <c r="AH721" s="36"/>
      <c r="AI721" s="36"/>
      <c r="AJ721" s="36"/>
      <c r="AK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7"/>
      <c r="Z722" s="36"/>
      <c r="AA722" s="37"/>
      <c r="AB722" s="37"/>
      <c r="AC722" s="37"/>
      <c r="AD722" s="36"/>
      <c r="AE722" s="36"/>
      <c r="AF722" s="36"/>
      <c r="AG722" s="36"/>
      <c r="AH722" s="36"/>
      <c r="AI722" s="36"/>
      <c r="AJ722" s="36"/>
      <c r="AK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7"/>
      <c r="Z723" s="36"/>
      <c r="AA723" s="37"/>
      <c r="AB723" s="37"/>
      <c r="AC723" s="37"/>
      <c r="AD723" s="36"/>
      <c r="AE723" s="36"/>
      <c r="AF723" s="36"/>
      <c r="AG723" s="36"/>
      <c r="AH723" s="36"/>
      <c r="AI723" s="36"/>
      <c r="AJ723" s="36"/>
      <c r="AK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7"/>
      <c r="Z724" s="36"/>
      <c r="AA724" s="37"/>
      <c r="AB724" s="37"/>
      <c r="AC724" s="37"/>
      <c r="AD724" s="36"/>
      <c r="AE724" s="36"/>
      <c r="AF724" s="36"/>
      <c r="AG724" s="36"/>
      <c r="AH724" s="36"/>
      <c r="AI724" s="36"/>
      <c r="AJ724" s="36"/>
      <c r="AK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7"/>
      <c r="Z725" s="36"/>
      <c r="AA725" s="37"/>
      <c r="AB725" s="37"/>
      <c r="AC725" s="37"/>
      <c r="AD725" s="36"/>
      <c r="AE725" s="36"/>
      <c r="AF725" s="36"/>
      <c r="AG725" s="36"/>
      <c r="AH725" s="36"/>
      <c r="AI725" s="36"/>
      <c r="AJ725" s="36"/>
      <c r="AK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7"/>
      <c r="Z726" s="36"/>
      <c r="AA726" s="37"/>
      <c r="AB726" s="37"/>
      <c r="AC726" s="37"/>
      <c r="AD726" s="36"/>
      <c r="AE726" s="36"/>
      <c r="AF726" s="36"/>
      <c r="AG726" s="36"/>
      <c r="AH726" s="36"/>
      <c r="AI726" s="36"/>
      <c r="AJ726" s="36"/>
      <c r="AK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7"/>
      <c r="Z727" s="36"/>
      <c r="AA727" s="37"/>
      <c r="AB727" s="37"/>
      <c r="AC727" s="37"/>
      <c r="AD727" s="36"/>
      <c r="AE727" s="36"/>
      <c r="AF727" s="36"/>
      <c r="AG727" s="36"/>
      <c r="AH727" s="36"/>
      <c r="AI727" s="36"/>
      <c r="AJ727" s="36"/>
      <c r="AK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7"/>
      <c r="Z728" s="36"/>
      <c r="AA728" s="37"/>
      <c r="AB728" s="37"/>
      <c r="AC728" s="37"/>
      <c r="AD728" s="36"/>
      <c r="AE728" s="36"/>
      <c r="AF728" s="36"/>
      <c r="AG728" s="36"/>
      <c r="AH728" s="36"/>
      <c r="AI728" s="36"/>
      <c r="AJ728" s="36"/>
      <c r="AK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7"/>
      <c r="Z729" s="36"/>
      <c r="AA729" s="37"/>
      <c r="AB729" s="37"/>
      <c r="AC729" s="37"/>
      <c r="AD729" s="36"/>
      <c r="AE729" s="36"/>
      <c r="AF729" s="36"/>
      <c r="AG729" s="36"/>
      <c r="AH729" s="36"/>
      <c r="AI729" s="36"/>
      <c r="AJ729" s="36"/>
      <c r="AK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7"/>
      <c r="Z730" s="36"/>
      <c r="AA730" s="37"/>
      <c r="AB730" s="37"/>
      <c r="AC730" s="37"/>
      <c r="AD730" s="36"/>
      <c r="AE730" s="36"/>
      <c r="AF730" s="36"/>
      <c r="AG730" s="36"/>
      <c r="AH730" s="36"/>
      <c r="AI730" s="36"/>
      <c r="AJ730" s="36"/>
      <c r="AK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7"/>
      <c r="Z731" s="36"/>
      <c r="AA731" s="37"/>
      <c r="AB731" s="37"/>
      <c r="AC731" s="37"/>
      <c r="AD731" s="36"/>
      <c r="AE731" s="36"/>
      <c r="AF731" s="36"/>
      <c r="AG731" s="36"/>
      <c r="AH731" s="36"/>
      <c r="AI731" s="36"/>
      <c r="AJ731" s="36"/>
      <c r="AK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7"/>
      <c r="Z732" s="36"/>
      <c r="AA732" s="37"/>
      <c r="AB732" s="37"/>
      <c r="AC732" s="37"/>
      <c r="AD732" s="36"/>
      <c r="AE732" s="36"/>
      <c r="AF732" s="36"/>
      <c r="AG732" s="36"/>
      <c r="AH732" s="36"/>
      <c r="AI732" s="36"/>
      <c r="AJ732" s="36"/>
      <c r="AK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7"/>
      <c r="Z733" s="36"/>
      <c r="AA733" s="37"/>
      <c r="AB733" s="37"/>
      <c r="AC733" s="37"/>
      <c r="AD733" s="36"/>
      <c r="AE733" s="36"/>
      <c r="AF733" s="36"/>
      <c r="AG733" s="36"/>
      <c r="AH733" s="36"/>
      <c r="AI733" s="36"/>
      <c r="AJ733" s="36"/>
      <c r="AK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7"/>
      <c r="Z734" s="36"/>
      <c r="AA734" s="37"/>
      <c r="AB734" s="37"/>
      <c r="AC734" s="37"/>
      <c r="AD734" s="36"/>
      <c r="AE734" s="36"/>
      <c r="AF734" s="36"/>
      <c r="AG734" s="36"/>
      <c r="AH734" s="36"/>
      <c r="AI734" s="36"/>
      <c r="AJ734" s="36"/>
      <c r="AK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7"/>
      <c r="Z735" s="36"/>
      <c r="AA735" s="37"/>
      <c r="AB735" s="37"/>
      <c r="AC735" s="37"/>
      <c r="AD735" s="36"/>
      <c r="AE735" s="36"/>
      <c r="AF735" s="36"/>
      <c r="AG735" s="36"/>
      <c r="AH735" s="36"/>
      <c r="AI735" s="36"/>
      <c r="AJ735" s="36"/>
      <c r="AK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7"/>
      <c r="Z736" s="36"/>
      <c r="AA736" s="37"/>
      <c r="AB736" s="37"/>
      <c r="AC736" s="37"/>
      <c r="AD736" s="36"/>
      <c r="AE736" s="36"/>
      <c r="AF736" s="36"/>
      <c r="AG736" s="36"/>
      <c r="AH736" s="36"/>
      <c r="AI736" s="36"/>
      <c r="AJ736" s="36"/>
      <c r="AK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7"/>
      <c r="Z737" s="36"/>
      <c r="AA737" s="37"/>
      <c r="AB737" s="37"/>
      <c r="AC737" s="37"/>
      <c r="AD737" s="36"/>
      <c r="AE737" s="36"/>
      <c r="AF737" s="36"/>
      <c r="AG737" s="36"/>
      <c r="AH737" s="36"/>
      <c r="AI737" s="36"/>
      <c r="AJ737" s="36"/>
      <c r="AK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7"/>
      <c r="Z738" s="36"/>
      <c r="AA738" s="37"/>
      <c r="AB738" s="37"/>
      <c r="AC738" s="37"/>
      <c r="AD738" s="36"/>
      <c r="AE738" s="36"/>
      <c r="AF738" s="36"/>
      <c r="AG738" s="36"/>
      <c r="AH738" s="36"/>
      <c r="AI738" s="36"/>
      <c r="AJ738" s="36"/>
      <c r="AK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7"/>
      <c r="Z739" s="36"/>
      <c r="AA739" s="37"/>
      <c r="AB739" s="37"/>
      <c r="AC739" s="37"/>
      <c r="AD739" s="36"/>
      <c r="AE739" s="36"/>
      <c r="AF739" s="36"/>
      <c r="AG739" s="36"/>
      <c r="AH739" s="36"/>
      <c r="AI739" s="36"/>
      <c r="AJ739" s="36"/>
      <c r="AK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7"/>
      <c r="Z740" s="36"/>
      <c r="AA740" s="37"/>
      <c r="AB740" s="37"/>
      <c r="AC740" s="37"/>
      <c r="AD740" s="36"/>
      <c r="AE740" s="36"/>
      <c r="AF740" s="36"/>
      <c r="AG740" s="36"/>
      <c r="AH740" s="36"/>
      <c r="AI740" s="36"/>
      <c r="AJ740" s="36"/>
      <c r="AK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7"/>
      <c r="Z741" s="36"/>
      <c r="AA741" s="37"/>
      <c r="AB741" s="37"/>
      <c r="AC741" s="37"/>
      <c r="AD741" s="36"/>
      <c r="AE741" s="36"/>
      <c r="AF741" s="36"/>
      <c r="AG741" s="36"/>
      <c r="AH741" s="36"/>
      <c r="AI741" s="36"/>
      <c r="AJ741" s="36"/>
      <c r="AK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7"/>
      <c r="Z742" s="36"/>
      <c r="AA742" s="37"/>
      <c r="AB742" s="37"/>
      <c r="AC742" s="37"/>
      <c r="AD742" s="36"/>
      <c r="AE742" s="36"/>
      <c r="AF742" s="36"/>
      <c r="AG742" s="36"/>
      <c r="AH742" s="36"/>
      <c r="AI742" s="36"/>
      <c r="AJ742" s="36"/>
      <c r="AK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7"/>
      <c r="Z743" s="36"/>
      <c r="AA743" s="37"/>
      <c r="AB743" s="37"/>
      <c r="AC743" s="37"/>
      <c r="AD743" s="36"/>
      <c r="AE743" s="36"/>
      <c r="AF743" s="36"/>
      <c r="AG743" s="36"/>
      <c r="AH743" s="36"/>
      <c r="AI743" s="36"/>
      <c r="AJ743" s="36"/>
      <c r="AK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7"/>
      <c r="Z744" s="36"/>
      <c r="AA744" s="37"/>
      <c r="AB744" s="37"/>
      <c r="AC744" s="37"/>
      <c r="AD744" s="36"/>
      <c r="AE744" s="36"/>
      <c r="AF744" s="36"/>
      <c r="AG744" s="36"/>
      <c r="AH744" s="36"/>
      <c r="AI744" s="36"/>
      <c r="AJ744" s="36"/>
      <c r="AK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7"/>
      <c r="Z745" s="36"/>
      <c r="AA745" s="37"/>
      <c r="AB745" s="37"/>
      <c r="AC745" s="37"/>
      <c r="AD745" s="36"/>
      <c r="AE745" s="36"/>
      <c r="AF745" s="36"/>
      <c r="AG745" s="36"/>
      <c r="AH745" s="36"/>
      <c r="AI745" s="36"/>
      <c r="AJ745" s="36"/>
      <c r="AK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7"/>
      <c r="Z746" s="36"/>
      <c r="AA746" s="37"/>
      <c r="AB746" s="37"/>
      <c r="AC746" s="37"/>
      <c r="AD746" s="36"/>
      <c r="AE746" s="36"/>
      <c r="AF746" s="36"/>
      <c r="AG746" s="36"/>
      <c r="AH746" s="36"/>
      <c r="AI746" s="36"/>
      <c r="AJ746" s="36"/>
      <c r="AK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7"/>
      <c r="Z747" s="36"/>
      <c r="AA747" s="37"/>
      <c r="AB747" s="37"/>
      <c r="AC747" s="37"/>
      <c r="AD747" s="36"/>
      <c r="AE747" s="36"/>
      <c r="AF747" s="36"/>
      <c r="AG747" s="36"/>
      <c r="AH747" s="36"/>
      <c r="AI747" s="36"/>
      <c r="AJ747" s="36"/>
      <c r="AK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7"/>
      <c r="Z748" s="36"/>
      <c r="AA748" s="37"/>
      <c r="AB748" s="37"/>
      <c r="AC748" s="37"/>
      <c r="AD748" s="36"/>
      <c r="AE748" s="36"/>
      <c r="AF748" s="36"/>
      <c r="AG748" s="36"/>
      <c r="AH748" s="36"/>
      <c r="AI748" s="36"/>
      <c r="AJ748" s="36"/>
      <c r="AK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7"/>
      <c r="Z749" s="36"/>
      <c r="AA749" s="37"/>
      <c r="AB749" s="37"/>
      <c r="AC749" s="37"/>
      <c r="AD749" s="36"/>
      <c r="AE749" s="36"/>
      <c r="AF749" s="36"/>
      <c r="AG749" s="36"/>
      <c r="AH749" s="36"/>
      <c r="AI749" s="36"/>
      <c r="AJ749" s="36"/>
      <c r="AK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7"/>
      <c r="Z750" s="36"/>
      <c r="AA750" s="37"/>
      <c r="AB750" s="37"/>
      <c r="AC750" s="37"/>
      <c r="AD750" s="36"/>
      <c r="AE750" s="36"/>
      <c r="AF750" s="36"/>
      <c r="AG750" s="36"/>
      <c r="AH750" s="36"/>
      <c r="AI750" s="36"/>
      <c r="AJ750" s="36"/>
      <c r="AK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7"/>
      <c r="Z751" s="36"/>
      <c r="AA751" s="37"/>
      <c r="AB751" s="37"/>
      <c r="AC751" s="37"/>
      <c r="AD751" s="36"/>
      <c r="AE751" s="36"/>
      <c r="AF751" s="36"/>
      <c r="AG751" s="36"/>
      <c r="AH751" s="36"/>
      <c r="AI751" s="36"/>
      <c r="AJ751" s="36"/>
      <c r="AK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7"/>
      <c r="Z752" s="36"/>
      <c r="AA752" s="37"/>
      <c r="AB752" s="37"/>
      <c r="AC752" s="37"/>
      <c r="AD752" s="36"/>
      <c r="AE752" s="36"/>
      <c r="AF752" s="36"/>
      <c r="AG752" s="36"/>
      <c r="AH752" s="36"/>
      <c r="AI752" s="36"/>
      <c r="AJ752" s="36"/>
      <c r="AK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7"/>
      <c r="Z753" s="36"/>
      <c r="AA753" s="37"/>
      <c r="AB753" s="37"/>
      <c r="AC753" s="37"/>
      <c r="AD753" s="36"/>
      <c r="AE753" s="36"/>
      <c r="AF753" s="36"/>
      <c r="AG753" s="36"/>
      <c r="AH753" s="36"/>
      <c r="AI753" s="36"/>
      <c r="AJ753" s="36"/>
      <c r="AK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7"/>
      <c r="Z754" s="36"/>
      <c r="AA754" s="37"/>
      <c r="AB754" s="37"/>
      <c r="AC754" s="37"/>
      <c r="AD754" s="36"/>
      <c r="AE754" s="36"/>
      <c r="AF754" s="36"/>
      <c r="AG754" s="36"/>
      <c r="AH754" s="36"/>
      <c r="AI754" s="36"/>
      <c r="AJ754" s="36"/>
      <c r="AK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7"/>
      <c r="Z755" s="36"/>
      <c r="AA755" s="37"/>
      <c r="AB755" s="37"/>
      <c r="AC755" s="37"/>
      <c r="AD755" s="36"/>
      <c r="AE755" s="36"/>
      <c r="AF755" s="36"/>
      <c r="AG755" s="36"/>
      <c r="AH755" s="36"/>
      <c r="AI755" s="36"/>
      <c r="AJ755" s="36"/>
      <c r="AK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7"/>
      <c r="Z756" s="36"/>
      <c r="AA756" s="37"/>
      <c r="AB756" s="37"/>
      <c r="AC756" s="37"/>
      <c r="AD756" s="36"/>
      <c r="AE756" s="36"/>
      <c r="AF756" s="36"/>
      <c r="AG756" s="36"/>
      <c r="AH756" s="36"/>
      <c r="AI756" s="36"/>
      <c r="AJ756" s="36"/>
      <c r="AK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7"/>
      <c r="Z757" s="36"/>
      <c r="AA757" s="37"/>
      <c r="AB757" s="37"/>
      <c r="AC757" s="37"/>
      <c r="AD757" s="36"/>
      <c r="AE757" s="36"/>
      <c r="AF757" s="36"/>
      <c r="AG757" s="36"/>
      <c r="AH757" s="36"/>
      <c r="AI757" s="36"/>
      <c r="AJ757" s="36"/>
      <c r="AK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7"/>
      <c r="Z758" s="36"/>
      <c r="AA758" s="37"/>
      <c r="AB758" s="37"/>
      <c r="AC758" s="37"/>
      <c r="AD758" s="36"/>
      <c r="AE758" s="36"/>
      <c r="AF758" s="36"/>
      <c r="AG758" s="36"/>
      <c r="AH758" s="36"/>
      <c r="AI758" s="36"/>
      <c r="AJ758" s="36"/>
      <c r="AK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7"/>
      <c r="Z759" s="36"/>
      <c r="AA759" s="37"/>
      <c r="AB759" s="37"/>
      <c r="AC759" s="37"/>
      <c r="AD759" s="36"/>
      <c r="AE759" s="36"/>
      <c r="AF759" s="36"/>
      <c r="AG759" s="36"/>
      <c r="AH759" s="36"/>
      <c r="AI759" s="36"/>
      <c r="AJ759" s="36"/>
      <c r="AK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7"/>
      <c r="Z760" s="36"/>
      <c r="AA760" s="37"/>
      <c r="AB760" s="37"/>
      <c r="AC760" s="37"/>
      <c r="AD760" s="36"/>
      <c r="AE760" s="36"/>
      <c r="AF760" s="36"/>
      <c r="AG760" s="36"/>
      <c r="AH760" s="36"/>
      <c r="AI760" s="36"/>
      <c r="AJ760" s="36"/>
      <c r="AK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7"/>
      <c r="Z761" s="36"/>
      <c r="AA761" s="37"/>
      <c r="AB761" s="37"/>
      <c r="AC761" s="37"/>
      <c r="AD761" s="36"/>
      <c r="AE761" s="36"/>
      <c r="AF761" s="36"/>
      <c r="AG761" s="36"/>
      <c r="AH761" s="36"/>
      <c r="AI761" s="36"/>
      <c r="AJ761" s="36"/>
      <c r="AK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7"/>
      <c r="Z762" s="36"/>
      <c r="AA762" s="37"/>
      <c r="AB762" s="37"/>
      <c r="AC762" s="37"/>
      <c r="AD762" s="36"/>
      <c r="AE762" s="36"/>
      <c r="AF762" s="36"/>
      <c r="AG762" s="36"/>
      <c r="AH762" s="36"/>
      <c r="AI762" s="36"/>
      <c r="AJ762" s="36"/>
      <c r="AK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7"/>
      <c r="Z763" s="36"/>
      <c r="AA763" s="37"/>
      <c r="AB763" s="37"/>
      <c r="AC763" s="37"/>
      <c r="AD763" s="36"/>
      <c r="AE763" s="36"/>
      <c r="AF763" s="36"/>
      <c r="AG763" s="36"/>
      <c r="AH763" s="36"/>
      <c r="AI763" s="36"/>
      <c r="AJ763" s="36"/>
      <c r="AK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7"/>
      <c r="Z764" s="36"/>
      <c r="AA764" s="37"/>
      <c r="AB764" s="37"/>
      <c r="AC764" s="37"/>
      <c r="AD764" s="36"/>
      <c r="AE764" s="36"/>
      <c r="AF764" s="36"/>
      <c r="AG764" s="36"/>
      <c r="AH764" s="36"/>
      <c r="AI764" s="36"/>
      <c r="AJ764" s="36"/>
      <c r="AK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7"/>
      <c r="Z765" s="36"/>
      <c r="AA765" s="37"/>
      <c r="AB765" s="37"/>
      <c r="AC765" s="37"/>
      <c r="AD765" s="36"/>
      <c r="AE765" s="36"/>
      <c r="AF765" s="36"/>
      <c r="AG765" s="36"/>
      <c r="AH765" s="36"/>
      <c r="AI765" s="36"/>
      <c r="AJ765" s="36"/>
      <c r="AK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7"/>
      <c r="Z766" s="36"/>
      <c r="AA766" s="37"/>
      <c r="AB766" s="37"/>
      <c r="AC766" s="37"/>
      <c r="AD766" s="36"/>
      <c r="AE766" s="36"/>
      <c r="AF766" s="36"/>
      <c r="AG766" s="36"/>
      <c r="AH766" s="36"/>
      <c r="AI766" s="36"/>
      <c r="AJ766" s="36"/>
      <c r="AK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7"/>
      <c r="Z767" s="36"/>
      <c r="AA767" s="37"/>
      <c r="AB767" s="37"/>
      <c r="AC767" s="37"/>
      <c r="AD767" s="36"/>
      <c r="AE767" s="36"/>
      <c r="AF767" s="36"/>
      <c r="AG767" s="36"/>
      <c r="AH767" s="36"/>
      <c r="AI767" s="36"/>
      <c r="AJ767" s="36"/>
      <c r="AK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7"/>
      <c r="Z768" s="36"/>
      <c r="AA768" s="37"/>
      <c r="AB768" s="37"/>
      <c r="AC768" s="37"/>
      <c r="AD768" s="36"/>
      <c r="AE768" s="36"/>
      <c r="AF768" s="36"/>
      <c r="AG768" s="36"/>
      <c r="AH768" s="36"/>
      <c r="AI768" s="36"/>
      <c r="AJ768" s="36"/>
      <c r="AK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7"/>
      <c r="Z769" s="36"/>
      <c r="AA769" s="37"/>
      <c r="AB769" s="37"/>
      <c r="AC769" s="37"/>
      <c r="AD769" s="36"/>
      <c r="AE769" s="36"/>
      <c r="AF769" s="36"/>
      <c r="AG769" s="36"/>
      <c r="AH769" s="36"/>
      <c r="AI769" s="36"/>
      <c r="AJ769" s="36"/>
      <c r="AK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7"/>
      <c r="Z770" s="36"/>
      <c r="AA770" s="37"/>
      <c r="AB770" s="37"/>
      <c r="AC770" s="37"/>
      <c r="AD770" s="36"/>
      <c r="AE770" s="36"/>
      <c r="AF770" s="36"/>
      <c r="AG770" s="36"/>
      <c r="AH770" s="36"/>
      <c r="AI770" s="36"/>
      <c r="AJ770" s="36"/>
      <c r="AK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7"/>
      <c r="Z771" s="36"/>
      <c r="AA771" s="37"/>
      <c r="AB771" s="37"/>
      <c r="AC771" s="37"/>
      <c r="AD771" s="36"/>
      <c r="AE771" s="36"/>
      <c r="AF771" s="36"/>
      <c r="AG771" s="36"/>
      <c r="AH771" s="36"/>
      <c r="AI771" s="36"/>
      <c r="AJ771" s="36"/>
      <c r="AK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7"/>
      <c r="Z772" s="36"/>
      <c r="AA772" s="37"/>
      <c r="AB772" s="37"/>
      <c r="AC772" s="37"/>
      <c r="AD772" s="36"/>
      <c r="AE772" s="36"/>
      <c r="AF772" s="36"/>
      <c r="AG772" s="36"/>
      <c r="AH772" s="36"/>
      <c r="AI772" s="36"/>
      <c r="AJ772" s="36"/>
      <c r="AK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7"/>
      <c r="Z773" s="36"/>
      <c r="AA773" s="37"/>
      <c r="AB773" s="37"/>
      <c r="AC773" s="37"/>
      <c r="AD773" s="36"/>
      <c r="AE773" s="36"/>
      <c r="AF773" s="36"/>
      <c r="AG773" s="36"/>
      <c r="AH773" s="36"/>
      <c r="AI773" s="36"/>
      <c r="AJ773" s="36"/>
      <c r="AK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7"/>
      <c r="Z774" s="36"/>
      <c r="AA774" s="37"/>
      <c r="AB774" s="37"/>
      <c r="AC774" s="37"/>
      <c r="AD774" s="36"/>
      <c r="AE774" s="36"/>
      <c r="AF774" s="36"/>
      <c r="AG774" s="36"/>
      <c r="AH774" s="36"/>
      <c r="AI774" s="36"/>
      <c r="AJ774" s="36"/>
      <c r="AK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7"/>
      <c r="Z775" s="36"/>
      <c r="AA775" s="37"/>
      <c r="AB775" s="37"/>
      <c r="AC775" s="37"/>
      <c r="AD775" s="36"/>
      <c r="AE775" s="36"/>
      <c r="AF775" s="36"/>
      <c r="AG775" s="36"/>
      <c r="AH775" s="36"/>
      <c r="AI775" s="36"/>
      <c r="AJ775" s="36"/>
      <c r="AK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7"/>
      <c r="Z776" s="36"/>
      <c r="AA776" s="37"/>
      <c r="AB776" s="37"/>
      <c r="AC776" s="37"/>
      <c r="AD776" s="36"/>
      <c r="AE776" s="36"/>
      <c r="AF776" s="36"/>
      <c r="AG776" s="36"/>
      <c r="AH776" s="36"/>
      <c r="AI776" s="36"/>
      <c r="AJ776" s="36"/>
      <c r="AK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7"/>
      <c r="Z777" s="36"/>
      <c r="AA777" s="37"/>
      <c r="AB777" s="37"/>
      <c r="AC777" s="37"/>
      <c r="AD777" s="36"/>
      <c r="AE777" s="36"/>
      <c r="AF777" s="36"/>
      <c r="AG777" s="36"/>
      <c r="AH777" s="36"/>
      <c r="AI777" s="36"/>
      <c r="AJ777" s="36"/>
      <c r="AK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7"/>
      <c r="Z778" s="36"/>
      <c r="AA778" s="37"/>
      <c r="AB778" s="37"/>
      <c r="AC778" s="37"/>
      <c r="AD778" s="36"/>
      <c r="AE778" s="36"/>
      <c r="AF778" s="36"/>
      <c r="AG778" s="36"/>
      <c r="AH778" s="36"/>
      <c r="AI778" s="36"/>
      <c r="AJ778" s="36"/>
      <c r="AK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7"/>
      <c r="Z779" s="36"/>
      <c r="AA779" s="37"/>
      <c r="AB779" s="37"/>
      <c r="AC779" s="37"/>
      <c r="AD779" s="36"/>
      <c r="AE779" s="36"/>
      <c r="AF779" s="36"/>
      <c r="AG779" s="36"/>
      <c r="AH779" s="36"/>
      <c r="AI779" s="36"/>
      <c r="AJ779" s="36"/>
      <c r="AK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7"/>
      <c r="Z780" s="36"/>
      <c r="AA780" s="37"/>
      <c r="AB780" s="37"/>
      <c r="AC780" s="37"/>
      <c r="AD780" s="36"/>
      <c r="AE780" s="36"/>
      <c r="AF780" s="36"/>
      <c r="AG780" s="36"/>
      <c r="AH780" s="36"/>
      <c r="AI780" s="36"/>
      <c r="AJ780" s="36"/>
      <c r="AK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7"/>
      <c r="Z781" s="36"/>
      <c r="AA781" s="37"/>
      <c r="AB781" s="37"/>
      <c r="AC781" s="37"/>
      <c r="AD781" s="36"/>
      <c r="AE781" s="36"/>
      <c r="AF781" s="36"/>
      <c r="AG781" s="36"/>
      <c r="AH781" s="36"/>
      <c r="AI781" s="36"/>
      <c r="AJ781" s="36"/>
      <c r="AK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7"/>
      <c r="Z782" s="36"/>
      <c r="AA782" s="37"/>
      <c r="AB782" s="37"/>
      <c r="AC782" s="37"/>
      <c r="AD782" s="36"/>
      <c r="AE782" s="36"/>
      <c r="AF782" s="36"/>
      <c r="AG782" s="36"/>
      <c r="AH782" s="36"/>
      <c r="AI782" s="36"/>
      <c r="AJ782" s="36"/>
      <c r="AK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7"/>
      <c r="Z783" s="36"/>
      <c r="AA783" s="37"/>
      <c r="AB783" s="37"/>
      <c r="AC783" s="37"/>
      <c r="AD783" s="36"/>
      <c r="AE783" s="36"/>
      <c r="AF783" s="36"/>
      <c r="AG783" s="36"/>
      <c r="AH783" s="36"/>
      <c r="AI783" s="36"/>
      <c r="AJ783" s="36"/>
      <c r="AK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7"/>
      <c r="Z784" s="36"/>
      <c r="AA784" s="37"/>
      <c r="AB784" s="37"/>
      <c r="AC784" s="37"/>
      <c r="AD784" s="36"/>
      <c r="AE784" s="36"/>
      <c r="AF784" s="36"/>
      <c r="AG784" s="36"/>
      <c r="AH784" s="36"/>
      <c r="AI784" s="36"/>
      <c r="AJ784" s="36"/>
      <c r="AK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7"/>
      <c r="Z785" s="36"/>
      <c r="AA785" s="37"/>
      <c r="AB785" s="37"/>
      <c r="AC785" s="37"/>
      <c r="AD785" s="36"/>
      <c r="AE785" s="36"/>
      <c r="AF785" s="36"/>
      <c r="AG785" s="36"/>
      <c r="AH785" s="36"/>
      <c r="AI785" s="36"/>
      <c r="AJ785" s="36"/>
      <c r="AK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7"/>
      <c r="Z786" s="36"/>
      <c r="AA786" s="37"/>
      <c r="AB786" s="37"/>
      <c r="AC786" s="37"/>
      <c r="AD786" s="36"/>
      <c r="AE786" s="36"/>
      <c r="AF786" s="36"/>
      <c r="AG786" s="36"/>
      <c r="AH786" s="36"/>
      <c r="AI786" s="36"/>
      <c r="AJ786" s="36"/>
      <c r="AK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7"/>
      <c r="Z787" s="36"/>
      <c r="AA787" s="37"/>
      <c r="AB787" s="37"/>
      <c r="AC787" s="37"/>
      <c r="AD787" s="36"/>
      <c r="AE787" s="36"/>
      <c r="AF787" s="36"/>
      <c r="AG787" s="36"/>
      <c r="AH787" s="36"/>
      <c r="AI787" s="36"/>
      <c r="AJ787" s="36"/>
      <c r="AK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7"/>
      <c r="Z788" s="36"/>
      <c r="AA788" s="37"/>
      <c r="AB788" s="37"/>
      <c r="AC788" s="37"/>
      <c r="AD788" s="36"/>
      <c r="AE788" s="36"/>
      <c r="AF788" s="36"/>
      <c r="AG788" s="36"/>
      <c r="AH788" s="36"/>
      <c r="AI788" s="36"/>
      <c r="AJ788" s="36"/>
      <c r="AK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7"/>
      <c r="Z789" s="36"/>
      <c r="AA789" s="37"/>
      <c r="AB789" s="37"/>
      <c r="AC789" s="37"/>
      <c r="AD789" s="36"/>
      <c r="AE789" s="36"/>
      <c r="AF789" s="36"/>
      <c r="AG789" s="36"/>
      <c r="AH789" s="36"/>
      <c r="AI789" s="36"/>
      <c r="AJ789" s="36"/>
      <c r="AK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7"/>
      <c r="Z790" s="36"/>
      <c r="AA790" s="37"/>
      <c r="AB790" s="37"/>
      <c r="AC790" s="37"/>
      <c r="AD790" s="36"/>
      <c r="AE790" s="36"/>
      <c r="AF790" s="36"/>
      <c r="AG790" s="36"/>
      <c r="AH790" s="36"/>
      <c r="AI790" s="36"/>
      <c r="AJ790" s="36"/>
      <c r="AK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7"/>
      <c r="Z791" s="36"/>
      <c r="AA791" s="37"/>
      <c r="AB791" s="37"/>
      <c r="AC791" s="37"/>
      <c r="AD791" s="36"/>
      <c r="AE791" s="36"/>
      <c r="AF791" s="36"/>
      <c r="AG791" s="36"/>
      <c r="AH791" s="36"/>
      <c r="AI791" s="36"/>
      <c r="AJ791" s="36"/>
      <c r="AK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7"/>
      <c r="Z792" s="36"/>
      <c r="AA792" s="37"/>
      <c r="AB792" s="37"/>
      <c r="AC792" s="37"/>
      <c r="AD792" s="36"/>
      <c r="AE792" s="36"/>
      <c r="AF792" s="36"/>
      <c r="AG792" s="36"/>
      <c r="AH792" s="36"/>
      <c r="AI792" s="36"/>
      <c r="AJ792" s="36"/>
      <c r="AK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7"/>
      <c r="Z793" s="36"/>
      <c r="AA793" s="37"/>
      <c r="AB793" s="37"/>
      <c r="AC793" s="37"/>
      <c r="AD793" s="36"/>
      <c r="AE793" s="36"/>
      <c r="AF793" s="36"/>
      <c r="AG793" s="36"/>
      <c r="AH793" s="36"/>
      <c r="AI793" s="36"/>
      <c r="AJ793" s="36"/>
      <c r="AK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7"/>
      <c r="Z794" s="36"/>
      <c r="AA794" s="37"/>
      <c r="AB794" s="37"/>
      <c r="AC794" s="37"/>
      <c r="AD794" s="36"/>
      <c r="AE794" s="36"/>
      <c r="AF794" s="36"/>
      <c r="AG794" s="36"/>
      <c r="AH794" s="36"/>
      <c r="AI794" s="36"/>
      <c r="AJ794" s="36"/>
      <c r="AK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7"/>
      <c r="Z795" s="36"/>
      <c r="AA795" s="37"/>
      <c r="AB795" s="37"/>
      <c r="AC795" s="37"/>
      <c r="AD795" s="36"/>
      <c r="AE795" s="36"/>
      <c r="AF795" s="36"/>
      <c r="AG795" s="36"/>
      <c r="AH795" s="36"/>
      <c r="AI795" s="36"/>
      <c r="AJ795" s="36"/>
      <c r="AK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7"/>
      <c r="Z796" s="36"/>
      <c r="AA796" s="37"/>
      <c r="AB796" s="37"/>
      <c r="AC796" s="37"/>
      <c r="AD796" s="36"/>
      <c r="AE796" s="36"/>
      <c r="AF796" s="36"/>
      <c r="AG796" s="36"/>
      <c r="AH796" s="36"/>
      <c r="AI796" s="36"/>
      <c r="AJ796" s="36"/>
      <c r="AK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7"/>
      <c r="Z797" s="36"/>
      <c r="AA797" s="37"/>
      <c r="AB797" s="37"/>
      <c r="AC797" s="37"/>
      <c r="AD797" s="36"/>
      <c r="AE797" s="36"/>
      <c r="AF797" s="36"/>
      <c r="AG797" s="36"/>
      <c r="AH797" s="36"/>
      <c r="AI797" s="36"/>
      <c r="AJ797" s="36"/>
      <c r="AK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7"/>
      <c r="Z798" s="36"/>
      <c r="AA798" s="37"/>
      <c r="AB798" s="37"/>
      <c r="AC798" s="37"/>
      <c r="AD798" s="36"/>
      <c r="AE798" s="36"/>
      <c r="AF798" s="36"/>
      <c r="AG798" s="36"/>
      <c r="AH798" s="36"/>
      <c r="AI798" s="36"/>
      <c r="AJ798" s="36"/>
      <c r="AK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7"/>
      <c r="Z799" s="36"/>
      <c r="AA799" s="37"/>
      <c r="AB799" s="37"/>
      <c r="AC799" s="37"/>
      <c r="AD799" s="36"/>
      <c r="AE799" s="36"/>
      <c r="AF799" s="36"/>
      <c r="AG799" s="36"/>
      <c r="AH799" s="36"/>
      <c r="AI799" s="36"/>
      <c r="AJ799" s="36"/>
      <c r="AK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7"/>
      <c r="Z800" s="36"/>
      <c r="AA800" s="37"/>
      <c r="AB800" s="37"/>
      <c r="AC800" s="37"/>
      <c r="AD800" s="36"/>
      <c r="AE800" s="36"/>
      <c r="AF800" s="36"/>
      <c r="AG800" s="36"/>
      <c r="AH800" s="36"/>
      <c r="AI800" s="36"/>
      <c r="AJ800" s="36"/>
      <c r="AK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7"/>
      <c r="Z801" s="36"/>
      <c r="AA801" s="37"/>
      <c r="AB801" s="37"/>
      <c r="AC801" s="37"/>
      <c r="AD801" s="36"/>
      <c r="AE801" s="36"/>
      <c r="AF801" s="36"/>
      <c r="AG801" s="36"/>
      <c r="AH801" s="36"/>
      <c r="AI801" s="36"/>
      <c r="AJ801" s="36"/>
      <c r="AK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7"/>
      <c r="Z802" s="36"/>
      <c r="AA802" s="37"/>
      <c r="AB802" s="37"/>
      <c r="AC802" s="37"/>
      <c r="AD802" s="36"/>
      <c r="AE802" s="36"/>
      <c r="AF802" s="36"/>
      <c r="AG802" s="36"/>
      <c r="AH802" s="36"/>
      <c r="AI802" s="36"/>
      <c r="AJ802" s="36"/>
      <c r="AK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7"/>
      <c r="Z803" s="36"/>
      <c r="AA803" s="37"/>
      <c r="AB803" s="37"/>
      <c r="AC803" s="37"/>
      <c r="AD803" s="36"/>
      <c r="AE803" s="36"/>
      <c r="AF803" s="36"/>
      <c r="AG803" s="36"/>
      <c r="AH803" s="36"/>
      <c r="AI803" s="36"/>
      <c r="AJ803" s="36"/>
      <c r="AK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7"/>
      <c r="Z804" s="36"/>
      <c r="AA804" s="37"/>
      <c r="AB804" s="37"/>
      <c r="AC804" s="37"/>
      <c r="AD804" s="36"/>
      <c r="AE804" s="36"/>
      <c r="AF804" s="36"/>
      <c r="AG804" s="36"/>
      <c r="AH804" s="36"/>
      <c r="AI804" s="36"/>
      <c r="AJ804" s="36"/>
      <c r="AK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7"/>
      <c r="Z805" s="36"/>
      <c r="AA805" s="37"/>
      <c r="AB805" s="37"/>
      <c r="AC805" s="37"/>
      <c r="AD805" s="36"/>
      <c r="AE805" s="36"/>
      <c r="AF805" s="36"/>
      <c r="AG805" s="36"/>
      <c r="AH805" s="36"/>
      <c r="AI805" s="36"/>
      <c r="AJ805" s="36"/>
      <c r="AK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7"/>
      <c r="Z806" s="36"/>
      <c r="AA806" s="37"/>
      <c r="AB806" s="37"/>
      <c r="AC806" s="37"/>
      <c r="AD806" s="36"/>
      <c r="AE806" s="36"/>
      <c r="AF806" s="36"/>
      <c r="AG806" s="36"/>
      <c r="AH806" s="36"/>
      <c r="AI806" s="36"/>
      <c r="AJ806" s="36"/>
      <c r="AK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7"/>
      <c r="Z807" s="36"/>
      <c r="AA807" s="37"/>
      <c r="AB807" s="37"/>
      <c r="AC807" s="37"/>
      <c r="AD807" s="36"/>
      <c r="AE807" s="36"/>
      <c r="AF807" s="36"/>
      <c r="AG807" s="36"/>
      <c r="AH807" s="36"/>
      <c r="AI807" s="36"/>
      <c r="AJ807" s="36"/>
      <c r="AK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7"/>
      <c r="Z808" s="36"/>
      <c r="AA808" s="37"/>
      <c r="AB808" s="37"/>
      <c r="AC808" s="37"/>
      <c r="AD808" s="36"/>
      <c r="AE808" s="36"/>
      <c r="AF808" s="36"/>
      <c r="AG808" s="36"/>
      <c r="AH808" s="36"/>
      <c r="AI808" s="36"/>
      <c r="AJ808" s="36"/>
      <c r="AK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7"/>
      <c r="Z809" s="36"/>
      <c r="AA809" s="37"/>
      <c r="AB809" s="37"/>
      <c r="AC809" s="37"/>
      <c r="AD809" s="36"/>
      <c r="AE809" s="36"/>
      <c r="AF809" s="36"/>
      <c r="AG809" s="36"/>
      <c r="AH809" s="36"/>
      <c r="AI809" s="36"/>
      <c r="AJ809" s="36"/>
      <c r="AK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7"/>
      <c r="Z810" s="36"/>
      <c r="AA810" s="37"/>
      <c r="AB810" s="37"/>
      <c r="AC810" s="37"/>
      <c r="AD810" s="36"/>
      <c r="AE810" s="36"/>
      <c r="AF810" s="36"/>
      <c r="AG810" s="36"/>
      <c r="AH810" s="36"/>
      <c r="AI810" s="36"/>
      <c r="AJ810" s="36"/>
      <c r="AK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7"/>
      <c r="Z811" s="36"/>
      <c r="AA811" s="37"/>
      <c r="AB811" s="37"/>
      <c r="AC811" s="37"/>
      <c r="AD811" s="36"/>
      <c r="AE811" s="36"/>
      <c r="AF811" s="36"/>
      <c r="AG811" s="36"/>
      <c r="AH811" s="36"/>
      <c r="AI811" s="36"/>
      <c r="AJ811" s="36"/>
      <c r="AK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7"/>
      <c r="Z812" s="36"/>
      <c r="AA812" s="37"/>
      <c r="AB812" s="37"/>
      <c r="AC812" s="37"/>
      <c r="AD812" s="36"/>
      <c r="AE812" s="36"/>
      <c r="AF812" s="36"/>
      <c r="AG812" s="36"/>
      <c r="AH812" s="36"/>
      <c r="AI812" s="36"/>
      <c r="AJ812" s="36"/>
      <c r="AK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7"/>
      <c r="Z813" s="36"/>
      <c r="AA813" s="37"/>
      <c r="AB813" s="37"/>
      <c r="AC813" s="37"/>
      <c r="AD813" s="36"/>
      <c r="AE813" s="36"/>
      <c r="AF813" s="36"/>
      <c r="AG813" s="36"/>
      <c r="AH813" s="36"/>
      <c r="AI813" s="36"/>
      <c r="AJ813" s="36"/>
      <c r="AK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7"/>
      <c r="Z814" s="36"/>
      <c r="AA814" s="37"/>
      <c r="AB814" s="37"/>
      <c r="AC814" s="37"/>
      <c r="AD814" s="36"/>
      <c r="AE814" s="36"/>
      <c r="AF814" s="36"/>
      <c r="AG814" s="36"/>
      <c r="AH814" s="36"/>
      <c r="AI814" s="36"/>
      <c r="AJ814" s="36"/>
      <c r="AK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7"/>
      <c r="Z815" s="36"/>
      <c r="AA815" s="37"/>
      <c r="AB815" s="37"/>
      <c r="AC815" s="37"/>
      <c r="AD815" s="36"/>
      <c r="AE815" s="36"/>
      <c r="AF815" s="36"/>
      <c r="AG815" s="36"/>
      <c r="AH815" s="36"/>
      <c r="AI815" s="36"/>
      <c r="AJ815" s="36"/>
      <c r="AK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7"/>
      <c r="Z816" s="36"/>
      <c r="AA816" s="37"/>
      <c r="AB816" s="37"/>
      <c r="AC816" s="37"/>
      <c r="AD816" s="36"/>
      <c r="AE816" s="36"/>
      <c r="AF816" s="36"/>
      <c r="AG816" s="36"/>
      <c r="AH816" s="36"/>
      <c r="AI816" s="36"/>
      <c r="AJ816" s="36"/>
      <c r="AK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7"/>
      <c r="Z817" s="36"/>
      <c r="AA817" s="37"/>
      <c r="AB817" s="37"/>
      <c r="AC817" s="37"/>
      <c r="AD817" s="36"/>
      <c r="AE817" s="36"/>
      <c r="AF817" s="36"/>
      <c r="AG817" s="36"/>
      <c r="AH817" s="36"/>
      <c r="AI817" s="36"/>
      <c r="AJ817" s="36"/>
      <c r="AK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7"/>
      <c r="Z818" s="36"/>
      <c r="AA818" s="37"/>
      <c r="AB818" s="37"/>
      <c r="AC818" s="37"/>
      <c r="AD818" s="36"/>
      <c r="AE818" s="36"/>
      <c r="AF818" s="36"/>
      <c r="AG818" s="36"/>
      <c r="AH818" s="36"/>
      <c r="AI818" s="36"/>
      <c r="AJ818" s="36"/>
      <c r="AK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7"/>
      <c r="Z819" s="36"/>
      <c r="AA819" s="37"/>
      <c r="AB819" s="37"/>
      <c r="AC819" s="37"/>
      <c r="AD819" s="36"/>
      <c r="AE819" s="36"/>
      <c r="AF819" s="36"/>
      <c r="AG819" s="36"/>
      <c r="AH819" s="36"/>
      <c r="AI819" s="36"/>
      <c r="AJ819" s="36"/>
      <c r="AK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7"/>
      <c r="Z820" s="36"/>
      <c r="AA820" s="37"/>
      <c r="AB820" s="37"/>
      <c r="AC820" s="37"/>
      <c r="AD820" s="36"/>
      <c r="AE820" s="36"/>
      <c r="AF820" s="36"/>
      <c r="AG820" s="36"/>
      <c r="AH820" s="36"/>
      <c r="AI820" s="36"/>
      <c r="AJ820" s="36"/>
      <c r="AK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7"/>
      <c r="Z821" s="36"/>
      <c r="AA821" s="37"/>
      <c r="AB821" s="37"/>
      <c r="AC821" s="37"/>
      <c r="AD821" s="36"/>
      <c r="AE821" s="36"/>
      <c r="AF821" s="36"/>
      <c r="AG821" s="36"/>
      <c r="AH821" s="36"/>
      <c r="AI821" s="36"/>
      <c r="AJ821" s="36"/>
      <c r="AK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7"/>
      <c r="Z822" s="36"/>
      <c r="AA822" s="37"/>
      <c r="AB822" s="37"/>
      <c r="AC822" s="37"/>
      <c r="AD822" s="36"/>
      <c r="AE822" s="36"/>
      <c r="AF822" s="36"/>
      <c r="AG822" s="36"/>
      <c r="AH822" s="36"/>
      <c r="AI822" s="36"/>
      <c r="AJ822" s="36"/>
      <c r="AK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7"/>
      <c r="Z823" s="36"/>
      <c r="AA823" s="37"/>
      <c r="AB823" s="37"/>
      <c r="AC823" s="37"/>
      <c r="AD823" s="36"/>
      <c r="AE823" s="36"/>
      <c r="AF823" s="36"/>
      <c r="AG823" s="36"/>
      <c r="AH823" s="36"/>
      <c r="AI823" s="36"/>
      <c r="AJ823" s="36"/>
      <c r="AK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7"/>
      <c r="Z824" s="36"/>
      <c r="AA824" s="37"/>
      <c r="AB824" s="37"/>
      <c r="AC824" s="37"/>
      <c r="AD824" s="36"/>
      <c r="AE824" s="36"/>
      <c r="AF824" s="36"/>
      <c r="AG824" s="36"/>
      <c r="AH824" s="36"/>
      <c r="AI824" s="36"/>
      <c r="AJ824" s="36"/>
      <c r="AK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7"/>
      <c r="Z825" s="36"/>
      <c r="AA825" s="37"/>
      <c r="AB825" s="37"/>
      <c r="AC825" s="37"/>
      <c r="AD825" s="36"/>
      <c r="AE825" s="36"/>
      <c r="AF825" s="36"/>
      <c r="AG825" s="36"/>
      <c r="AH825" s="36"/>
      <c r="AI825" s="36"/>
      <c r="AJ825" s="36"/>
      <c r="AK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7"/>
      <c r="Z826" s="36"/>
      <c r="AA826" s="37"/>
      <c r="AB826" s="37"/>
      <c r="AC826" s="37"/>
      <c r="AD826" s="36"/>
      <c r="AE826" s="36"/>
      <c r="AF826" s="36"/>
      <c r="AG826" s="36"/>
      <c r="AH826" s="36"/>
      <c r="AI826" s="36"/>
      <c r="AJ826" s="36"/>
      <c r="AK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7"/>
      <c r="Z827" s="36"/>
      <c r="AA827" s="37"/>
      <c r="AB827" s="37"/>
      <c r="AC827" s="37"/>
      <c r="AD827" s="36"/>
      <c r="AE827" s="36"/>
      <c r="AF827" s="36"/>
      <c r="AG827" s="36"/>
      <c r="AH827" s="36"/>
      <c r="AI827" s="36"/>
      <c r="AJ827" s="36"/>
      <c r="AK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7"/>
      <c r="Z828" s="36"/>
      <c r="AA828" s="37"/>
      <c r="AB828" s="37"/>
      <c r="AC828" s="37"/>
      <c r="AD828" s="36"/>
      <c r="AE828" s="36"/>
      <c r="AF828" s="36"/>
      <c r="AG828" s="36"/>
      <c r="AH828" s="36"/>
      <c r="AI828" s="36"/>
      <c r="AJ828" s="36"/>
      <c r="AK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7"/>
      <c r="Z829" s="36"/>
      <c r="AA829" s="37"/>
      <c r="AB829" s="37"/>
      <c r="AC829" s="37"/>
      <c r="AD829" s="36"/>
      <c r="AE829" s="36"/>
      <c r="AF829" s="36"/>
      <c r="AG829" s="36"/>
      <c r="AH829" s="36"/>
      <c r="AI829" s="36"/>
      <c r="AJ829" s="36"/>
      <c r="AK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7"/>
      <c r="Z830" s="36"/>
      <c r="AA830" s="37"/>
      <c r="AB830" s="37"/>
      <c r="AC830" s="37"/>
      <c r="AD830" s="36"/>
      <c r="AE830" s="36"/>
      <c r="AF830" s="36"/>
      <c r="AG830" s="36"/>
      <c r="AH830" s="36"/>
      <c r="AI830" s="36"/>
      <c r="AJ830" s="36"/>
      <c r="AK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7"/>
      <c r="Z831" s="36"/>
      <c r="AA831" s="37"/>
      <c r="AB831" s="37"/>
      <c r="AC831" s="37"/>
      <c r="AD831" s="36"/>
      <c r="AE831" s="36"/>
      <c r="AF831" s="36"/>
      <c r="AG831" s="36"/>
      <c r="AH831" s="36"/>
      <c r="AI831" s="36"/>
      <c r="AJ831" s="36"/>
      <c r="AK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7"/>
      <c r="Z832" s="36"/>
      <c r="AA832" s="37"/>
      <c r="AB832" s="37"/>
      <c r="AC832" s="37"/>
      <c r="AD832" s="36"/>
      <c r="AE832" s="36"/>
      <c r="AF832" s="36"/>
      <c r="AG832" s="36"/>
      <c r="AH832" s="36"/>
      <c r="AI832" s="36"/>
      <c r="AJ832" s="36"/>
      <c r="AK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7"/>
      <c r="Z833" s="36"/>
      <c r="AA833" s="37"/>
      <c r="AB833" s="37"/>
      <c r="AC833" s="37"/>
      <c r="AD833" s="36"/>
      <c r="AE833" s="36"/>
      <c r="AF833" s="36"/>
      <c r="AG833" s="36"/>
      <c r="AH833" s="36"/>
      <c r="AI833" s="36"/>
      <c r="AJ833" s="36"/>
      <c r="AK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7"/>
      <c r="Z834" s="36"/>
      <c r="AA834" s="37"/>
      <c r="AB834" s="37"/>
      <c r="AC834" s="37"/>
      <c r="AD834" s="36"/>
      <c r="AE834" s="36"/>
      <c r="AF834" s="36"/>
      <c r="AG834" s="36"/>
      <c r="AH834" s="36"/>
      <c r="AI834" s="36"/>
      <c r="AJ834" s="36"/>
      <c r="AK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7"/>
      <c r="Z835" s="36"/>
      <c r="AA835" s="37"/>
      <c r="AB835" s="37"/>
      <c r="AC835" s="37"/>
      <c r="AD835" s="36"/>
      <c r="AE835" s="36"/>
      <c r="AF835" s="36"/>
      <c r="AG835" s="36"/>
      <c r="AH835" s="36"/>
      <c r="AI835" s="36"/>
      <c r="AJ835" s="36"/>
      <c r="AK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7"/>
      <c r="Z836" s="36"/>
      <c r="AA836" s="37"/>
      <c r="AB836" s="37"/>
      <c r="AC836" s="37"/>
      <c r="AD836" s="36"/>
      <c r="AE836" s="36"/>
      <c r="AF836" s="36"/>
      <c r="AG836" s="36"/>
      <c r="AH836" s="36"/>
      <c r="AI836" s="36"/>
      <c r="AJ836" s="36"/>
      <c r="AK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7"/>
      <c r="Z837" s="36"/>
      <c r="AA837" s="37"/>
      <c r="AB837" s="37"/>
      <c r="AC837" s="37"/>
      <c r="AD837" s="36"/>
      <c r="AE837" s="36"/>
      <c r="AF837" s="36"/>
      <c r="AG837" s="36"/>
      <c r="AH837" s="36"/>
      <c r="AI837" s="36"/>
      <c r="AJ837" s="36"/>
      <c r="AK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7"/>
      <c r="Z838" s="36"/>
      <c r="AA838" s="37"/>
      <c r="AB838" s="37"/>
      <c r="AC838" s="37"/>
      <c r="AD838" s="36"/>
      <c r="AE838" s="36"/>
      <c r="AF838" s="36"/>
      <c r="AG838" s="36"/>
      <c r="AH838" s="36"/>
      <c r="AI838" s="36"/>
      <c r="AJ838" s="36"/>
      <c r="AK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7"/>
      <c r="Z839" s="36"/>
      <c r="AA839" s="37"/>
      <c r="AB839" s="37"/>
      <c r="AC839" s="37"/>
      <c r="AD839" s="36"/>
      <c r="AE839" s="36"/>
      <c r="AF839" s="36"/>
      <c r="AG839" s="36"/>
      <c r="AH839" s="36"/>
      <c r="AI839" s="36"/>
      <c r="AJ839" s="36"/>
      <c r="AK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7"/>
      <c r="Z840" s="36"/>
      <c r="AA840" s="37"/>
      <c r="AB840" s="37"/>
      <c r="AC840" s="37"/>
      <c r="AD840" s="36"/>
      <c r="AE840" s="36"/>
      <c r="AF840" s="36"/>
      <c r="AG840" s="36"/>
      <c r="AH840" s="36"/>
      <c r="AI840" s="36"/>
      <c r="AJ840" s="36"/>
      <c r="AK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7"/>
      <c r="Z841" s="36"/>
      <c r="AA841" s="37"/>
      <c r="AB841" s="37"/>
      <c r="AC841" s="37"/>
      <c r="AD841" s="36"/>
      <c r="AE841" s="36"/>
      <c r="AF841" s="36"/>
      <c r="AG841" s="36"/>
      <c r="AH841" s="36"/>
      <c r="AI841" s="36"/>
      <c r="AJ841" s="36"/>
      <c r="AK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7"/>
      <c r="Z842" s="36"/>
      <c r="AA842" s="37"/>
      <c r="AB842" s="37"/>
      <c r="AC842" s="37"/>
      <c r="AD842" s="36"/>
      <c r="AE842" s="36"/>
      <c r="AF842" s="36"/>
      <c r="AG842" s="36"/>
      <c r="AH842" s="36"/>
      <c r="AI842" s="36"/>
      <c r="AJ842" s="36"/>
      <c r="AK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7"/>
      <c r="Z843" s="36"/>
      <c r="AA843" s="37"/>
      <c r="AB843" s="37"/>
      <c r="AC843" s="37"/>
      <c r="AD843" s="36"/>
      <c r="AE843" s="36"/>
      <c r="AF843" s="36"/>
      <c r="AG843" s="36"/>
      <c r="AH843" s="36"/>
      <c r="AI843" s="36"/>
      <c r="AJ843" s="36"/>
      <c r="AK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7"/>
      <c r="Z844" s="36"/>
      <c r="AA844" s="37"/>
      <c r="AB844" s="37"/>
      <c r="AC844" s="37"/>
      <c r="AD844" s="36"/>
      <c r="AE844" s="36"/>
      <c r="AF844" s="36"/>
      <c r="AG844" s="36"/>
      <c r="AH844" s="36"/>
      <c r="AI844" s="36"/>
      <c r="AJ844" s="36"/>
      <c r="AK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7"/>
      <c r="Z845" s="36"/>
      <c r="AA845" s="37"/>
      <c r="AB845" s="37"/>
      <c r="AC845" s="37"/>
      <c r="AD845" s="36"/>
      <c r="AE845" s="36"/>
      <c r="AF845" s="36"/>
      <c r="AG845" s="36"/>
      <c r="AH845" s="36"/>
      <c r="AI845" s="36"/>
      <c r="AJ845" s="36"/>
      <c r="AK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7"/>
      <c r="Z846" s="36"/>
      <c r="AA846" s="37"/>
      <c r="AB846" s="37"/>
      <c r="AC846" s="37"/>
      <c r="AD846" s="36"/>
      <c r="AE846" s="36"/>
      <c r="AF846" s="36"/>
      <c r="AG846" s="36"/>
      <c r="AH846" s="36"/>
      <c r="AI846" s="36"/>
      <c r="AJ846" s="36"/>
      <c r="AK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7"/>
      <c r="Z847" s="36"/>
      <c r="AA847" s="37"/>
      <c r="AB847" s="37"/>
      <c r="AC847" s="37"/>
      <c r="AD847" s="36"/>
      <c r="AE847" s="36"/>
      <c r="AF847" s="36"/>
      <c r="AG847" s="36"/>
      <c r="AH847" s="36"/>
      <c r="AI847" s="36"/>
      <c r="AJ847" s="36"/>
      <c r="AK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7"/>
      <c r="Z848" s="36"/>
      <c r="AA848" s="37"/>
      <c r="AB848" s="37"/>
      <c r="AC848" s="37"/>
      <c r="AD848" s="36"/>
      <c r="AE848" s="36"/>
      <c r="AF848" s="36"/>
      <c r="AG848" s="36"/>
      <c r="AH848" s="36"/>
      <c r="AI848" s="36"/>
      <c r="AJ848" s="36"/>
      <c r="AK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7"/>
      <c r="Z849" s="36"/>
      <c r="AA849" s="37"/>
      <c r="AB849" s="37"/>
      <c r="AC849" s="37"/>
      <c r="AD849" s="36"/>
      <c r="AE849" s="36"/>
      <c r="AF849" s="36"/>
      <c r="AG849" s="36"/>
      <c r="AH849" s="36"/>
      <c r="AI849" s="36"/>
      <c r="AJ849" s="36"/>
      <c r="AK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7"/>
      <c r="Z850" s="36"/>
      <c r="AA850" s="37"/>
      <c r="AB850" s="37"/>
      <c r="AC850" s="37"/>
      <c r="AD850" s="36"/>
      <c r="AE850" s="36"/>
      <c r="AF850" s="36"/>
      <c r="AG850" s="36"/>
      <c r="AH850" s="36"/>
      <c r="AI850" s="36"/>
      <c r="AJ850" s="36"/>
      <c r="AK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7"/>
      <c r="Z851" s="36"/>
      <c r="AA851" s="37"/>
      <c r="AB851" s="37"/>
      <c r="AC851" s="37"/>
      <c r="AD851" s="36"/>
      <c r="AE851" s="36"/>
      <c r="AF851" s="36"/>
      <c r="AG851" s="36"/>
      <c r="AH851" s="36"/>
      <c r="AI851" s="36"/>
      <c r="AJ851" s="36"/>
      <c r="AK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7"/>
      <c r="Z852" s="36"/>
      <c r="AA852" s="37"/>
      <c r="AB852" s="37"/>
      <c r="AC852" s="37"/>
      <c r="AD852" s="36"/>
      <c r="AE852" s="36"/>
      <c r="AF852" s="36"/>
      <c r="AG852" s="36"/>
      <c r="AH852" s="36"/>
      <c r="AI852" s="36"/>
      <c r="AJ852" s="36"/>
      <c r="AK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7"/>
      <c r="Z853" s="36"/>
      <c r="AA853" s="37"/>
      <c r="AB853" s="37"/>
      <c r="AC853" s="37"/>
      <c r="AD853" s="36"/>
      <c r="AE853" s="36"/>
      <c r="AF853" s="36"/>
      <c r="AG853" s="36"/>
      <c r="AH853" s="36"/>
      <c r="AI853" s="36"/>
      <c r="AJ853" s="36"/>
      <c r="AK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7"/>
      <c r="Z854" s="36"/>
      <c r="AA854" s="37"/>
      <c r="AB854" s="37"/>
      <c r="AC854" s="37"/>
      <c r="AD854" s="36"/>
      <c r="AE854" s="36"/>
      <c r="AF854" s="36"/>
      <c r="AG854" s="36"/>
      <c r="AH854" s="36"/>
      <c r="AI854" s="36"/>
      <c r="AJ854" s="36"/>
      <c r="AK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7"/>
      <c r="Z855" s="36"/>
      <c r="AA855" s="37"/>
      <c r="AB855" s="37"/>
      <c r="AC855" s="37"/>
      <c r="AD855" s="36"/>
      <c r="AE855" s="36"/>
      <c r="AF855" s="36"/>
      <c r="AG855" s="36"/>
      <c r="AH855" s="36"/>
      <c r="AI855" s="36"/>
      <c r="AJ855" s="36"/>
      <c r="AK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7"/>
      <c r="Z856" s="36"/>
      <c r="AA856" s="37"/>
      <c r="AB856" s="37"/>
      <c r="AC856" s="37"/>
      <c r="AD856" s="36"/>
      <c r="AE856" s="36"/>
      <c r="AF856" s="36"/>
      <c r="AG856" s="36"/>
      <c r="AH856" s="36"/>
      <c r="AI856" s="36"/>
      <c r="AJ856" s="36"/>
      <c r="AK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7"/>
      <c r="Z857" s="36"/>
      <c r="AA857" s="37"/>
      <c r="AB857" s="37"/>
      <c r="AC857" s="37"/>
      <c r="AD857" s="36"/>
      <c r="AE857" s="36"/>
      <c r="AF857" s="36"/>
      <c r="AG857" s="36"/>
      <c r="AH857" s="36"/>
      <c r="AI857" s="36"/>
      <c r="AJ857" s="36"/>
      <c r="AK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7"/>
      <c r="Z858" s="36"/>
      <c r="AA858" s="37"/>
      <c r="AB858" s="37"/>
      <c r="AC858" s="37"/>
      <c r="AD858" s="36"/>
      <c r="AE858" s="36"/>
      <c r="AF858" s="36"/>
      <c r="AG858" s="36"/>
      <c r="AH858" s="36"/>
      <c r="AI858" s="36"/>
      <c r="AJ858" s="36"/>
      <c r="AK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7"/>
      <c r="Z859" s="36"/>
      <c r="AA859" s="37"/>
      <c r="AB859" s="37"/>
      <c r="AC859" s="37"/>
      <c r="AD859" s="36"/>
      <c r="AE859" s="36"/>
      <c r="AF859" s="36"/>
      <c r="AG859" s="36"/>
      <c r="AH859" s="36"/>
      <c r="AI859" s="36"/>
      <c r="AJ859" s="36"/>
      <c r="AK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7"/>
      <c r="Z860" s="36"/>
      <c r="AA860" s="37"/>
      <c r="AB860" s="37"/>
      <c r="AC860" s="37"/>
      <c r="AD860" s="36"/>
      <c r="AE860" s="36"/>
      <c r="AF860" s="36"/>
      <c r="AG860" s="36"/>
      <c r="AH860" s="36"/>
      <c r="AI860" s="36"/>
      <c r="AJ860" s="36"/>
      <c r="AK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7"/>
      <c r="Z861" s="36"/>
      <c r="AA861" s="37"/>
      <c r="AB861" s="37"/>
      <c r="AC861" s="37"/>
      <c r="AD861" s="36"/>
      <c r="AE861" s="36"/>
      <c r="AF861" s="36"/>
      <c r="AG861" s="36"/>
      <c r="AH861" s="36"/>
      <c r="AI861" s="36"/>
      <c r="AJ861" s="36"/>
      <c r="AK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7"/>
      <c r="Z862" s="36"/>
      <c r="AA862" s="37"/>
      <c r="AB862" s="37"/>
      <c r="AC862" s="37"/>
      <c r="AD862" s="36"/>
      <c r="AE862" s="36"/>
      <c r="AF862" s="36"/>
      <c r="AG862" s="36"/>
      <c r="AH862" s="36"/>
      <c r="AI862" s="36"/>
      <c r="AJ862" s="36"/>
      <c r="AK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7"/>
      <c r="Z863" s="36"/>
      <c r="AA863" s="37"/>
      <c r="AB863" s="37"/>
      <c r="AC863" s="37"/>
      <c r="AD863" s="36"/>
      <c r="AE863" s="36"/>
      <c r="AF863" s="36"/>
      <c r="AG863" s="36"/>
      <c r="AH863" s="36"/>
      <c r="AI863" s="36"/>
      <c r="AJ863" s="36"/>
      <c r="AK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7"/>
      <c r="Z864" s="36"/>
      <c r="AA864" s="37"/>
      <c r="AB864" s="37"/>
      <c r="AC864" s="37"/>
      <c r="AD864" s="36"/>
      <c r="AE864" s="36"/>
      <c r="AF864" s="36"/>
      <c r="AG864" s="36"/>
      <c r="AH864" s="36"/>
      <c r="AI864" s="36"/>
      <c r="AJ864" s="36"/>
      <c r="AK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7"/>
      <c r="Z865" s="36"/>
      <c r="AA865" s="37"/>
      <c r="AB865" s="37"/>
      <c r="AC865" s="37"/>
      <c r="AD865" s="36"/>
      <c r="AE865" s="36"/>
      <c r="AF865" s="36"/>
      <c r="AG865" s="36"/>
      <c r="AH865" s="36"/>
      <c r="AI865" s="36"/>
      <c r="AJ865" s="36"/>
      <c r="AK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7"/>
      <c r="Z866" s="36"/>
      <c r="AA866" s="37"/>
      <c r="AB866" s="37"/>
      <c r="AC866" s="37"/>
      <c r="AD866" s="36"/>
      <c r="AE866" s="36"/>
      <c r="AF866" s="36"/>
      <c r="AG866" s="36"/>
      <c r="AH866" s="36"/>
      <c r="AI866" s="36"/>
      <c r="AJ866" s="36"/>
      <c r="AK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7"/>
      <c r="Z867" s="36"/>
      <c r="AA867" s="37"/>
      <c r="AB867" s="37"/>
      <c r="AC867" s="37"/>
      <c r="AD867" s="36"/>
      <c r="AE867" s="36"/>
      <c r="AF867" s="36"/>
      <c r="AG867" s="36"/>
      <c r="AH867" s="36"/>
      <c r="AI867" s="36"/>
      <c r="AJ867" s="36"/>
      <c r="AK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7"/>
      <c r="Z868" s="36"/>
      <c r="AA868" s="37"/>
      <c r="AB868" s="37"/>
      <c r="AC868" s="37"/>
      <c r="AD868" s="36"/>
      <c r="AE868" s="36"/>
      <c r="AF868" s="36"/>
      <c r="AG868" s="36"/>
      <c r="AH868" s="36"/>
      <c r="AI868" s="36"/>
      <c r="AJ868" s="36"/>
      <c r="AK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7"/>
      <c r="Z869" s="36"/>
      <c r="AA869" s="37"/>
      <c r="AB869" s="37"/>
      <c r="AC869" s="37"/>
      <c r="AD869" s="36"/>
      <c r="AE869" s="36"/>
      <c r="AF869" s="36"/>
      <c r="AG869" s="36"/>
      <c r="AH869" s="36"/>
      <c r="AI869" s="36"/>
      <c r="AJ869" s="36"/>
      <c r="AK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7"/>
      <c r="Z870" s="36"/>
      <c r="AA870" s="37"/>
      <c r="AB870" s="37"/>
      <c r="AC870" s="37"/>
      <c r="AD870" s="36"/>
      <c r="AE870" s="36"/>
      <c r="AF870" s="36"/>
      <c r="AG870" s="36"/>
      <c r="AH870" s="36"/>
      <c r="AI870" s="36"/>
      <c r="AJ870" s="36"/>
      <c r="AK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7"/>
      <c r="Z871" s="36"/>
      <c r="AA871" s="37"/>
      <c r="AB871" s="37"/>
      <c r="AC871" s="37"/>
      <c r="AD871" s="36"/>
      <c r="AE871" s="36"/>
      <c r="AF871" s="36"/>
      <c r="AG871" s="36"/>
      <c r="AH871" s="36"/>
      <c r="AI871" s="36"/>
      <c r="AJ871" s="36"/>
      <c r="AK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7"/>
      <c r="Z872" s="36"/>
      <c r="AA872" s="37"/>
      <c r="AB872" s="37"/>
      <c r="AC872" s="37"/>
      <c r="AD872" s="36"/>
      <c r="AE872" s="36"/>
      <c r="AF872" s="36"/>
      <c r="AG872" s="36"/>
      <c r="AH872" s="36"/>
      <c r="AI872" s="36"/>
      <c r="AJ872" s="36"/>
      <c r="AK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7"/>
      <c r="Z873" s="36"/>
      <c r="AA873" s="37"/>
      <c r="AB873" s="37"/>
      <c r="AC873" s="37"/>
      <c r="AD873" s="36"/>
      <c r="AE873" s="36"/>
      <c r="AF873" s="36"/>
      <c r="AG873" s="36"/>
      <c r="AH873" s="36"/>
      <c r="AI873" s="36"/>
      <c r="AJ873" s="36"/>
      <c r="AK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7"/>
      <c r="Z874" s="36"/>
      <c r="AA874" s="37"/>
      <c r="AB874" s="37"/>
      <c r="AC874" s="37"/>
      <c r="AD874" s="36"/>
      <c r="AE874" s="36"/>
      <c r="AF874" s="36"/>
      <c r="AG874" s="36"/>
      <c r="AH874" s="36"/>
      <c r="AI874" s="36"/>
      <c r="AJ874" s="36"/>
      <c r="AK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7"/>
      <c r="Z875" s="36"/>
      <c r="AA875" s="37"/>
      <c r="AB875" s="37"/>
      <c r="AC875" s="37"/>
      <c r="AD875" s="36"/>
      <c r="AE875" s="36"/>
      <c r="AF875" s="36"/>
      <c r="AG875" s="36"/>
      <c r="AH875" s="36"/>
      <c r="AI875" s="36"/>
      <c r="AJ875" s="36"/>
      <c r="AK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7"/>
      <c r="Z876" s="36"/>
      <c r="AA876" s="37"/>
      <c r="AB876" s="37"/>
      <c r="AC876" s="37"/>
      <c r="AD876" s="36"/>
      <c r="AE876" s="36"/>
      <c r="AF876" s="36"/>
      <c r="AG876" s="36"/>
      <c r="AH876" s="36"/>
      <c r="AI876" s="36"/>
      <c r="AJ876" s="36"/>
      <c r="AK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7"/>
      <c r="Z877" s="36"/>
      <c r="AA877" s="37"/>
      <c r="AB877" s="37"/>
      <c r="AC877" s="37"/>
      <c r="AD877" s="36"/>
      <c r="AE877" s="36"/>
      <c r="AF877" s="36"/>
      <c r="AG877" s="36"/>
      <c r="AH877" s="36"/>
      <c r="AI877" s="36"/>
      <c r="AJ877" s="36"/>
      <c r="AK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7"/>
      <c r="Z878" s="36"/>
      <c r="AA878" s="37"/>
      <c r="AB878" s="37"/>
      <c r="AC878" s="37"/>
      <c r="AD878" s="36"/>
      <c r="AE878" s="36"/>
      <c r="AF878" s="36"/>
      <c r="AG878" s="36"/>
      <c r="AH878" s="36"/>
      <c r="AI878" s="36"/>
      <c r="AJ878" s="36"/>
      <c r="AK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7"/>
      <c r="Z879" s="36"/>
      <c r="AA879" s="37"/>
      <c r="AB879" s="37"/>
      <c r="AC879" s="37"/>
      <c r="AD879" s="36"/>
      <c r="AE879" s="36"/>
      <c r="AF879" s="36"/>
      <c r="AG879" s="36"/>
      <c r="AH879" s="36"/>
      <c r="AI879" s="36"/>
      <c r="AJ879" s="36"/>
      <c r="AK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7"/>
      <c r="Z880" s="36"/>
      <c r="AA880" s="37"/>
      <c r="AB880" s="37"/>
      <c r="AC880" s="37"/>
      <c r="AD880" s="36"/>
      <c r="AE880" s="36"/>
      <c r="AF880" s="36"/>
      <c r="AG880" s="36"/>
      <c r="AH880" s="36"/>
      <c r="AI880" s="36"/>
      <c r="AJ880" s="36"/>
      <c r="AK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7"/>
      <c r="Z881" s="36"/>
      <c r="AA881" s="37"/>
      <c r="AB881" s="37"/>
      <c r="AC881" s="37"/>
      <c r="AD881" s="36"/>
      <c r="AE881" s="36"/>
      <c r="AF881" s="36"/>
      <c r="AG881" s="36"/>
      <c r="AH881" s="36"/>
      <c r="AI881" s="36"/>
      <c r="AJ881" s="36"/>
      <c r="AK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7"/>
      <c r="Z882" s="36"/>
      <c r="AA882" s="37"/>
      <c r="AB882" s="37"/>
      <c r="AC882" s="37"/>
      <c r="AD882" s="36"/>
      <c r="AE882" s="36"/>
      <c r="AF882" s="36"/>
      <c r="AG882" s="36"/>
      <c r="AH882" s="36"/>
      <c r="AI882" s="36"/>
      <c r="AJ882" s="36"/>
      <c r="AK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7"/>
      <c r="Z883" s="36"/>
      <c r="AA883" s="37"/>
      <c r="AB883" s="37"/>
      <c r="AC883" s="37"/>
      <c r="AD883" s="36"/>
      <c r="AE883" s="36"/>
      <c r="AF883" s="36"/>
      <c r="AG883" s="36"/>
      <c r="AH883" s="36"/>
      <c r="AI883" s="36"/>
      <c r="AJ883" s="36"/>
      <c r="AK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7"/>
      <c r="Z884" s="36"/>
      <c r="AA884" s="37"/>
      <c r="AB884" s="37"/>
      <c r="AC884" s="37"/>
      <c r="AD884" s="36"/>
      <c r="AE884" s="36"/>
      <c r="AF884" s="36"/>
      <c r="AG884" s="36"/>
      <c r="AH884" s="36"/>
      <c r="AI884" s="36"/>
      <c r="AJ884" s="36"/>
      <c r="AK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7"/>
      <c r="Z885" s="36"/>
      <c r="AA885" s="37"/>
      <c r="AB885" s="37"/>
      <c r="AC885" s="37"/>
      <c r="AD885" s="36"/>
      <c r="AE885" s="36"/>
      <c r="AF885" s="36"/>
      <c r="AG885" s="36"/>
      <c r="AH885" s="36"/>
      <c r="AI885" s="36"/>
      <c r="AJ885" s="36"/>
      <c r="AK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7"/>
      <c r="Z886" s="36"/>
      <c r="AA886" s="37"/>
      <c r="AB886" s="37"/>
      <c r="AC886" s="37"/>
      <c r="AD886" s="36"/>
      <c r="AE886" s="36"/>
      <c r="AF886" s="36"/>
      <c r="AG886" s="36"/>
      <c r="AH886" s="36"/>
      <c r="AI886" s="36"/>
      <c r="AJ886" s="36"/>
      <c r="AK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7"/>
      <c r="Z887" s="36"/>
      <c r="AA887" s="37"/>
      <c r="AB887" s="37"/>
      <c r="AC887" s="37"/>
      <c r="AD887" s="36"/>
      <c r="AE887" s="36"/>
      <c r="AF887" s="36"/>
      <c r="AG887" s="36"/>
      <c r="AH887" s="36"/>
      <c r="AI887" s="36"/>
      <c r="AJ887" s="36"/>
      <c r="AK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7"/>
      <c r="Z888" s="36"/>
      <c r="AA888" s="37"/>
      <c r="AB888" s="37"/>
      <c r="AC888" s="37"/>
      <c r="AD888" s="36"/>
      <c r="AE888" s="36"/>
      <c r="AF888" s="36"/>
      <c r="AG888" s="36"/>
      <c r="AH888" s="36"/>
      <c r="AI888" s="36"/>
      <c r="AJ888" s="36"/>
      <c r="AK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7"/>
      <c r="Z889" s="36"/>
      <c r="AA889" s="37"/>
      <c r="AB889" s="37"/>
      <c r="AC889" s="37"/>
      <c r="AD889" s="36"/>
      <c r="AE889" s="36"/>
      <c r="AF889" s="36"/>
      <c r="AG889" s="36"/>
      <c r="AH889" s="36"/>
      <c r="AI889" s="36"/>
      <c r="AJ889" s="36"/>
      <c r="AK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7"/>
      <c r="Z890" s="36"/>
      <c r="AA890" s="37"/>
      <c r="AB890" s="37"/>
      <c r="AC890" s="37"/>
      <c r="AD890" s="36"/>
      <c r="AE890" s="36"/>
      <c r="AF890" s="36"/>
      <c r="AG890" s="36"/>
      <c r="AH890" s="36"/>
      <c r="AI890" s="36"/>
      <c r="AJ890" s="36"/>
      <c r="AK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7"/>
      <c r="Z891" s="36"/>
      <c r="AA891" s="37"/>
      <c r="AB891" s="37"/>
      <c r="AC891" s="37"/>
      <c r="AD891" s="36"/>
      <c r="AE891" s="36"/>
      <c r="AF891" s="36"/>
      <c r="AG891" s="36"/>
      <c r="AH891" s="36"/>
      <c r="AI891" s="36"/>
      <c r="AJ891" s="36"/>
      <c r="AK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7"/>
      <c r="Z892" s="36"/>
      <c r="AA892" s="37"/>
      <c r="AB892" s="37"/>
      <c r="AC892" s="37"/>
      <c r="AD892" s="36"/>
      <c r="AE892" s="36"/>
      <c r="AF892" s="36"/>
      <c r="AG892" s="36"/>
      <c r="AH892" s="36"/>
      <c r="AI892" s="36"/>
      <c r="AJ892" s="36"/>
      <c r="AK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7"/>
      <c r="Z893" s="36"/>
      <c r="AA893" s="37"/>
      <c r="AB893" s="37"/>
      <c r="AC893" s="37"/>
      <c r="AD893" s="36"/>
      <c r="AE893" s="36"/>
      <c r="AF893" s="36"/>
      <c r="AG893" s="36"/>
      <c r="AH893" s="36"/>
      <c r="AI893" s="36"/>
      <c r="AJ893" s="36"/>
      <c r="AK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7"/>
      <c r="Z894" s="36"/>
      <c r="AA894" s="37"/>
      <c r="AB894" s="37"/>
      <c r="AC894" s="37"/>
      <c r="AD894" s="36"/>
      <c r="AE894" s="36"/>
      <c r="AF894" s="36"/>
      <c r="AG894" s="36"/>
      <c r="AH894" s="36"/>
      <c r="AI894" s="36"/>
      <c r="AJ894" s="36"/>
      <c r="AK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7"/>
      <c r="Z895" s="36"/>
      <c r="AA895" s="37"/>
      <c r="AB895" s="37"/>
      <c r="AC895" s="37"/>
      <c r="AD895" s="36"/>
      <c r="AE895" s="36"/>
      <c r="AF895" s="36"/>
      <c r="AG895" s="36"/>
      <c r="AH895" s="36"/>
      <c r="AI895" s="36"/>
      <c r="AJ895" s="36"/>
      <c r="AK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7"/>
      <c r="Z896" s="36"/>
      <c r="AA896" s="37"/>
      <c r="AB896" s="37"/>
      <c r="AC896" s="37"/>
      <c r="AD896" s="36"/>
      <c r="AE896" s="36"/>
      <c r="AF896" s="36"/>
      <c r="AG896" s="36"/>
      <c r="AH896" s="36"/>
      <c r="AI896" s="36"/>
      <c r="AJ896" s="36"/>
      <c r="AK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7"/>
      <c r="Z897" s="36"/>
      <c r="AA897" s="37"/>
      <c r="AB897" s="37"/>
      <c r="AC897" s="37"/>
      <c r="AD897" s="36"/>
      <c r="AE897" s="36"/>
      <c r="AF897" s="36"/>
      <c r="AG897" s="36"/>
      <c r="AH897" s="36"/>
      <c r="AI897" s="36"/>
      <c r="AJ897" s="36"/>
      <c r="AK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7"/>
      <c r="Z898" s="36"/>
      <c r="AA898" s="37"/>
      <c r="AB898" s="37"/>
      <c r="AC898" s="37"/>
      <c r="AD898" s="36"/>
      <c r="AE898" s="36"/>
      <c r="AF898" s="36"/>
      <c r="AG898" s="36"/>
      <c r="AH898" s="36"/>
      <c r="AI898" s="36"/>
      <c r="AJ898" s="36"/>
      <c r="AK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7"/>
      <c r="Z899" s="36"/>
      <c r="AA899" s="37"/>
      <c r="AB899" s="37"/>
      <c r="AC899" s="37"/>
      <c r="AD899" s="36"/>
      <c r="AE899" s="36"/>
      <c r="AF899" s="36"/>
      <c r="AG899" s="36"/>
      <c r="AH899" s="36"/>
      <c r="AI899" s="36"/>
      <c r="AJ899" s="36"/>
      <c r="AK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7"/>
      <c r="Z900" s="36"/>
      <c r="AA900" s="37"/>
      <c r="AB900" s="37"/>
      <c r="AC900" s="37"/>
      <c r="AD900" s="36"/>
      <c r="AE900" s="36"/>
      <c r="AF900" s="36"/>
      <c r="AG900" s="36"/>
      <c r="AH900" s="36"/>
      <c r="AI900" s="36"/>
      <c r="AJ900" s="36"/>
      <c r="AK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7"/>
      <c r="Z901" s="36"/>
      <c r="AA901" s="37"/>
      <c r="AB901" s="37"/>
      <c r="AC901" s="37"/>
      <c r="AD901" s="36"/>
      <c r="AE901" s="36"/>
      <c r="AF901" s="36"/>
      <c r="AG901" s="36"/>
      <c r="AH901" s="36"/>
      <c r="AI901" s="36"/>
      <c r="AJ901" s="36"/>
      <c r="AK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7"/>
      <c r="Z902" s="36"/>
      <c r="AA902" s="37"/>
      <c r="AB902" s="37"/>
      <c r="AC902" s="37"/>
      <c r="AD902" s="36"/>
      <c r="AE902" s="36"/>
      <c r="AF902" s="36"/>
      <c r="AG902" s="36"/>
      <c r="AH902" s="36"/>
      <c r="AI902" s="36"/>
      <c r="AJ902" s="36"/>
      <c r="AK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7"/>
      <c r="Z903" s="36"/>
      <c r="AA903" s="37"/>
      <c r="AB903" s="37"/>
      <c r="AC903" s="37"/>
      <c r="AD903" s="36"/>
      <c r="AE903" s="36"/>
      <c r="AF903" s="36"/>
      <c r="AG903" s="36"/>
      <c r="AH903" s="36"/>
      <c r="AI903" s="36"/>
      <c r="AJ903" s="36"/>
      <c r="AK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7"/>
      <c r="Z904" s="36"/>
      <c r="AA904" s="37"/>
      <c r="AB904" s="37"/>
      <c r="AC904" s="37"/>
      <c r="AD904" s="36"/>
      <c r="AE904" s="36"/>
      <c r="AF904" s="36"/>
      <c r="AG904" s="36"/>
      <c r="AH904" s="36"/>
      <c r="AI904" s="36"/>
      <c r="AJ904" s="36"/>
      <c r="AK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7"/>
      <c r="Z905" s="36"/>
      <c r="AA905" s="37"/>
      <c r="AB905" s="37"/>
      <c r="AC905" s="37"/>
      <c r="AD905" s="36"/>
      <c r="AE905" s="36"/>
      <c r="AF905" s="36"/>
      <c r="AG905" s="36"/>
      <c r="AH905" s="36"/>
      <c r="AI905" s="36"/>
      <c r="AJ905" s="36"/>
      <c r="AK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7"/>
      <c r="Z906" s="36"/>
      <c r="AA906" s="37"/>
      <c r="AB906" s="37"/>
      <c r="AC906" s="37"/>
      <c r="AD906" s="36"/>
      <c r="AE906" s="36"/>
      <c r="AF906" s="36"/>
      <c r="AG906" s="36"/>
      <c r="AH906" s="36"/>
      <c r="AI906" s="36"/>
      <c r="AJ906" s="36"/>
      <c r="AK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7"/>
      <c r="Z907" s="36"/>
      <c r="AA907" s="37"/>
      <c r="AB907" s="37"/>
      <c r="AC907" s="37"/>
      <c r="AD907" s="36"/>
      <c r="AE907" s="36"/>
      <c r="AF907" s="36"/>
      <c r="AG907" s="36"/>
      <c r="AH907" s="36"/>
      <c r="AI907" s="36"/>
      <c r="AJ907" s="36"/>
      <c r="AK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7"/>
      <c r="Z908" s="36"/>
      <c r="AA908" s="37"/>
      <c r="AB908" s="37"/>
      <c r="AC908" s="37"/>
      <c r="AD908" s="36"/>
      <c r="AE908" s="36"/>
      <c r="AF908" s="36"/>
      <c r="AG908" s="36"/>
      <c r="AH908" s="36"/>
      <c r="AI908" s="36"/>
      <c r="AJ908" s="36"/>
      <c r="AK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7"/>
      <c r="Z909" s="36"/>
      <c r="AA909" s="37"/>
      <c r="AB909" s="37"/>
      <c r="AC909" s="37"/>
      <c r="AD909" s="36"/>
      <c r="AE909" s="36"/>
      <c r="AF909" s="36"/>
      <c r="AG909" s="36"/>
      <c r="AH909" s="36"/>
      <c r="AI909" s="36"/>
      <c r="AJ909" s="36"/>
      <c r="AK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7"/>
      <c r="Z910" s="36"/>
      <c r="AA910" s="37"/>
      <c r="AB910" s="37"/>
      <c r="AC910" s="37"/>
      <c r="AD910" s="36"/>
      <c r="AE910" s="36"/>
      <c r="AF910" s="36"/>
      <c r="AG910" s="36"/>
      <c r="AH910" s="36"/>
      <c r="AI910" s="36"/>
      <c r="AJ910" s="36"/>
      <c r="AK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7"/>
      <c r="Z911" s="36"/>
      <c r="AA911" s="37"/>
      <c r="AB911" s="37"/>
      <c r="AC911" s="37"/>
      <c r="AD911" s="36"/>
      <c r="AE911" s="36"/>
      <c r="AF911" s="36"/>
      <c r="AG911" s="36"/>
      <c r="AH911" s="36"/>
      <c r="AI911" s="36"/>
      <c r="AJ911" s="36"/>
      <c r="AK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7"/>
      <c r="Z912" s="36"/>
      <c r="AA912" s="37"/>
      <c r="AB912" s="37"/>
      <c r="AC912" s="37"/>
      <c r="AD912" s="36"/>
      <c r="AE912" s="36"/>
      <c r="AF912" s="36"/>
      <c r="AG912" s="36"/>
      <c r="AH912" s="36"/>
      <c r="AI912" s="36"/>
      <c r="AJ912" s="36"/>
      <c r="AK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7"/>
      <c r="Z913" s="36"/>
      <c r="AA913" s="37"/>
      <c r="AB913" s="37"/>
      <c r="AC913" s="37"/>
      <c r="AD913" s="36"/>
      <c r="AE913" s="36"/>
      <c r="AF913" s="36"/>
      <c r="AG913" s="36"/>
      <c r="AH913" s="36"/>
      <c r="AI913" s="36"/>
      <c r="AJ913" s="36"/>
      <c r="AK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7"/>
      <c r="Z914" s="36"/>
      <c r="AA914" s="37"/>
      <c r="AB914" s="37"/>
      <c r="AC914" s="37"/>
      <c r="AD914" s="36"/>
      <c r="AE914" s="36"/>
      <c r="AF914" s="36"/>
      <c r="AG914" s="36"/>
      <c r="AH914" s="36"/>
      <c r="AI914" s="36"/>
      <c r="AJ914" s="36"/>
      <c r="AK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7"/>
      <c r="Z915" s="36"/>
      <c r="AA915" s="37"/>
      <c r="AB915" s="37"/>
      <c r="AC915" s="37"/>
      <c r="AD915" s="36"/>
      <c r="AE915" s="36"/>
      <c r="AF915" s="36"/>
      <c r="AG915" s="36"/>
      <c r="AH915" s="36"/>
      <c r="AI915" s="36"/>
      <c r="AJ915" s="36"/>
      <c r="AK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7"/>
      <c r="Z916" s="36"/>
      <c r="AA916" s="37"/>
      <c r="AB916" s="37"/>
      <c r="AC916" s="37"/>
      <c r="AD916" s="36"/>
      <c r="AE916" s="36"/>
      <c r="AF916" s="36"/>
      <c r="AG916" s="36"/>
      <c r="AH916" s="36"/>
      <c r="AI916" s="36"/>
      <c r="AJ916" s="36"/>
      <c r="AK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7"/>
      <c r="Z917" s="36"/>
      <c r="AA917" s="37"/>
      <c r="AB917" s="37"/>
      <c r="AC917" s="37"/>
      <c r="AD917" s="36"/>
      <c r="AE917" s="36"/>
      <c r="AF917" s="36"/>
      <c r="AG917" s="36"/>
      <c r="AH917" s="36"/>
      <c r="AI917" s="36"/>
      <c r="AJ917" s="36"/>
      <c r="AK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7"/>
      <c r="Z918" s="36"/>
      <c r="AA918" s="37"/>
      <c r="AB918" s="37"/>
      <c r="AC918" s="37"/>
      <c r="AD918" s="36"/>
      <c r="AE918" s="36"/>
      <c r="AF918" s="36"/>
      <c r="AG918" s="36"/>
      <c r="AH918" s="36"/>
      <c r="AI918" s="36"/>
      <c r="AJ918" s="36"/>
      <c r="AK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7"/>
      <c r="Z919" s="36"/>
      <c r="AA919" s="37"/>
      <c r="AB919" s="37"/>
      <c r="AC919" s="37"/>
      <c r="AD919" s="36"/>
      <c r="AE919" s="36"/>
      <c r="AF919" s="36"/>
      <c r="AG919" s="36"/>
      <c r="AH919" s="36"/>
      <c r="AI919" s="36"/>
      <c r="AJ919" s="36"/>
      <c r="AK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7"/>
      <c r="Z920" s="36"/>
      <c r="AA920" s="37"/>
      <c r="AB920" s="37"/>
      <c r="AC920" s="37"/>
      <c r="AD920" s="36"/>
      <c r="AE920" s="36"/>
      <c r="AF920" s="36"/>
      <c r="AG920" s="36"/>
      <c r="AH920" s="36"/>
      <c r="AI920" s="36"/>
      <c r="AJ920" s="36"/>
      <c r="AK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7"/>
      <c r="Z921" s="36"/>
      <c r="AA921" s="37"/>
      <c r="AB921" s="37"/>
      <c r="AC921" s="37"/>
      <c r="AD921" s="36"/>
      <c r="AE921" s="36"/>
      <c r="AF921" s="36"/>
      <c r="AG921" s="36"/>
      <c r="AH921" s="36"/>
      <c r="AI921" s="36"/>
      <c r="AJ921" s="36"/>
      <c r="AK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7"/>
      <c r="Z922" s="36"/>
      <c r="AA922" s="37"/>
      <c r="AB922" s="37"/>
      <c r="AC922" s="37"/>
      <c r="AD922" s="36"/>
      <c r="AE922" s="36"/>
      <c r="AF922" s="36"/>
      <c r="AG922" s="36"/>
      <c r="AH922" s="36"/>
      <c r="AI922" s="36"/>
      <c r="AJ922" s="36"/>
      <c r="AK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7"/>
      <c r="Z923" s="36"/>
      <c r="AA923" s="37"/>
      <c r="AB923" s="37"/>
      <c r="AC923" s="37"/>
      <c r="AD923" s="36"/>
      <c r="AE923" s="36"/>
      <c r="AF923" s="36"/>
      <c r="AG923" s="36"/>
      <c r="AH923" s="36"/>
      <c r="AI923" s="36"/>
      <c r="AJ923" s="36"/>
      <c r="AK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7"/>
      <c r="Z924" s="36"/>
      <c r="AA924" s="37"/>
      <c r="AB924" s="37"/>
      <c r="AC924" s="37"/>
      <c r="AD924" s="36"/>
      <c r="AE924" s="36"/>
      <c r="AF924" s="36"/>
      <c r="AG924" s="36"/>
      <c r="AH924" s="36"/>
      <c r="AI924" s="36"/>
      <c r="AJ924" s="36"/>
      <c r="AK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7"/>
      <c r="Z925" s="36"/>
      <c r="AA925" s="37"/>
      <c r="AB925" s="37"/>
      <c r="AC925" s="37"/>
      <c r="AD925" s="36"/>
      <c r="AE925" s="36"/>
      <c r="AF925" s="36"/>
      <c r="AG925" s="36"/>
      <c r="AH925" s="36"/>
      <c r="AI925" s="36"/>
      <c r="AJ925" s="36"/>
      <c r="AK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7"/>
      <c r="Z926" s="36"/>
      <c r="AA926" s="37"/>
      <c r="AB926" s="37"/>
      <c r="AC926" s="37"/>
      <c r="AD926" s="36"/>
      <c r="AE926" s="36"/>
      <c r="AF926" s="36"/>
      <c r="AG926" s="36"/>
      <c r="AH926" s="36"/>
      <c r="AI926" s="36"/>
      <c r="AJ926" s="36"/>
      <c r="AK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7"/>
      <c r="Z927" s="36"/>
      <c r="AA927" s="37"/>
      <c r="AB927" s="37"/>
      <c r="AC927" s="37"/>
      <c r="AD927" s="36"/>
      <c r="AE927" s="36"/>
      <c r="AF927" s="36"/>
      <c r="AG927" s="36"/>
      <c r="AH927" s="36"/>
      <c r="AI927" s="36"/>
      <c r="AJ927" s="36"/>
      <c r="AK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7"/>
      <c r="Z928" s="36"/>
      <c r="AA928" s="37"/>
      <c r="AB928" s="37"/>
      <c r="AC928" s="37"/>
      <c r="AD928" s="36"/>
      <c r="AE928" s="36"/>
      <c r="AF928" s="36"/>
      <c r="AG928" s="36"/>
      <c r="AH928" s="36"/>
      <c r="AI928" s="36"/>
      <c r="AJ928" s="36"/>
      <c r="AK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7"/>
      <c r="Z929" s="36"/>
      <c r="AA929" s="37"/>
      <c r="AB929" s="37"/>
      <c r="AC929" s="37"/>
      <c r="AD929" s="36"/>
      <c r="AE929" s="36"/>
      <c r="AF929" s="36"/>
      <c r="AG929" s="36"/>
      <c r="AH929" s="36"/>
      <c r="AI929" s="36"/>
      <c r="AJ929" s="36"/>
      <c r="AK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7"/>
      <c r="Z930" s="36"/>
      <c r="AA930" s="37"/>
      <c r="AB930" s="37"/>
      <c r="AC930" s="37"/>
      <c r="AD930" s="36"/>
      <c r="AE930" s="36"/>
      <c r="AF930" s="36"/>
      <c r="AG930" s="36"/>
      <c r="AH930" s="36"/>
      <c r="AI930" s="36"/>
      <c r="AJ930" s="36"/>
      <c r="AK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7"/>
      <c r="Z931" s="36"/>
      <c r="AA931" s="37"/>
      <c r="AB931" s="37"/>
      <c r="AC931" s="37"/>
      <c r="AD931" s="36"/>
      <c r="AE931" s="36"/>
      <c r="AF931" s="36"/>
      <c r="AG931" s="36"/>
      <c r="AH931" s="36"/>
      <c r="AI931" s="36"/>
      <c r="AJ931" s="36"/>
      <c r="AK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7"/>
      <c r="Z932" s="36"/>
      <c r="AA932" s="37"/>
      <c r="AB932" s="37"/>
      <c r="AC932" s="37"/>
      <c r="AD932" s="36"/>
      <c r="AE932" s="36"/>
      <c r="AF932" s="36"/>
      <c r="AG932" s="36"/>
      <c r="AH932" s="36"/>
      <c r="AI932" s="36"/>
      <c r="AJ932" s="36"/>
      <c r="AK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7"/>
      <c r="Z933" s="36"/>
      <c r="AA933" s="37"/>
      <c r="AB933" s="37"/>
      <c r="AC933" s="37"/>
      <c r="AD933" s="36"/>
      <c r="AE933" s="36"/>
      <c r="AF933" s="36"/>
      <c r="AG933" s="36"/>
      <c r="AH933" s="36"/>
      <c r="AI933" s="36"/>
      <c r="AJ933" s="36"/>
      <c r="AK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7"/>
      <c r="Z934" s="36"/>
      <c r="AA934" s="37"/>
      <c r="AB934" s="37"/>
      <c r="AC934" s="37"/>
      <c r="AD934" s="36"/>
      <c r="AE934" s="36"/>
      <c r="AF934" s="36"/>
      <c r="AG934" s="36"/>
      <c r="AH934" s="36"/>
      <c r="AI934" s="36"/>
      <c r="AJ934" s="36"/>
      <c r="AK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7"/>
      <c r="Z935" s="36"/>
      <c r="AA935" s="37"/>
      <c r="AB935" s="37"/>
      <c r="AC935" s="37"/>
      <c r="AD935" s="36"/>
      <c r="AE935" s="36"/>
      <c r="AF935" s="36"/>
      <c r="AG935" s="36"/>
      <c r="AH935" s="36"/>
      <c r="AI935" s="36"/>
      <c r="AJ935" s="36"/>
      <c r="AK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7"/>
      <c r="Z936" s="36"/>
      <c r="AA936" s="37"/>
      <c r="AB936" s="37"/>
      <c r="AC936" s="37"/>
      <c r="AD936" s="36"/>
      <c r="AE936" s="36"/>
      <c r="AF936" s="36"/>
      <c r="AG936" s="36"/>
      <c r="AH936" s="36"/>
      <c r="AI936" s="36"/>
      <c r="AJ936" s="36"/>
      <c r="AK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7"/>
      <c r="Z937" s="36"/>
      <c r="AA937" s="37"/>
      <c r="AB937" s="37"/>
      <c r="AC937" s="37"/>
      <c r="AD937" s="36"/>
      <c r="AE937" s="36"/>
      <c r="AF937" s="36"/>
      <c r="AG937" s="36"/>
      <c r="AH937" s="36"/>
      <c r="AI937" s="36"/>
      <c r="AJ937" s="36"/>
      <c r="AK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7"/>
      <c r="Z938" s="36"/>
      <c r="AA938" s="37"/>
      <c r="AB938" s="37"/>
      <c r="AC938" s="37"/>
      <c r="AD938" s="36"/>
      <c r="AE938" s="36"/>
      <c r="AF938" s="36"/>
      <c r="AG938" s="36"/>
      <c r="AH938" s="36"/>
      <c r="AI938" s="36"/>
      <c r="AJ938" s="36"/>
      <c r="AK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7"/>
      <c r="Z939" s="36"/>
      <c r="AA939" s="37"/>
      <c r="AB939" s="37"/>
      <c r="AC939" s="37"/>
      <c r="AD939" s="36"/>
      <c r="AE939" s="36"/>
      <c r="AF939" s="36"/>
      <c r="AG939" s="36"/>
      <c r="AH939" s="36"/>
      <c r="AI939" s="36"/>
      <c r="AJ939" s="36"/>
      <c r="AK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7"/>
      <c r="Z940" s="36"/>
      <c r="AA940" s="37"/>
      <c r="AB940" s="37"/>
      <c r="AC940" s="37"/>
      <c r="AD940" s="36"/>
      <c r="AE940" s="36"/>
      <c r="AF940" s="36"/>
      <c r="AG940" s="36"/>
      <c r="AH940" s="36"/>
      <c r="AI940" s="36"/>
      <c r="AJ940" s="36"/>
      <c r="AK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7"/>
      <c r="Z941" s="36"/>
      <c r="AA941" s="37"/>
      <c r="AB941" s="37"/>
      <c r="AC941" s="37"/>
      <c r="AD941" s="36"/>
      <c r="AE941" s="36"/>
      <c r="AF941" s="36"/>
      <c r="AG941" s="36"/>
      <c r="AH941" s="36"/>
      <c r="AI941" s="36"/>
      <c r="AJ941" s="36"/>
      <c r="AK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7"/>
      <c r="Z942" s="36"/>
      <c r="AA942" s="37"/>
      <c r="AB942" s="37"/>
      <c r="AC942" s="37"/>
      <c r="AD942" s="36"/>
      <c r="AE942" s="36"/>
      <c r="AF942" s="36"/>
      <c r="AG942" s="36"/>
      <c r="AH942" s="36"/>
      <c r="AI942" s="36"/>
      <c r="AJ942" s="36"/>
      <c r="AK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7"/>
      <c r="Z943" s="36"/>
      <c r="AA943" s="37"/>
      <c r="AB943" s="37"/>
      <c r="AC943" s="37"/>
      <c r="AD943" s="36"/>
      <c r="AE943" s="36"/>
      <c r="AF943" s="36"/>
      <c r="AG943" s="36"/>
      <c r="AH943" s="36"/>
      <c r="AI943" s="36"/>
      <c r="AJ943" s="36"/>
      <c r="AK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7"/>
      <c r="Z944" s="36"/>
      <c r="AA944" s="37"/>
      <c r="AB944" s="37"/>
      <c r="AC944" s="37"/>
      <c r="AD944" s="36"/>
      <c r="AE944" s="36"/>
      <c r="AF944" s="36"/>
      <c r="AG944" s="36"/>
      <c r="AH944" s="36"/>
      <c r="AI944" s="36"/>
      <c r="AJ944" s="36"/>
      <c r="AK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7"/>
      <c r="Z945" s="36"/>
      <c r="AA945" s="37"/>
      <c r="AB945" s="37"/>
      <c r="AC945" s="37"/>
      <c r="AD945" s="36"/>
      <c r="AE945" s="36"/>
      <c r="AF945" s="36"/>
      <c r="AG945" s="36"/>
      <c r="AH945" s="36"/>
      <c r="AI945" s="36"/>
      <c r="AJ945" s="36"/>
      <c r="AK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7"/>
      <c r="Z946" s="36"/>
      <c r="AA946" s="37"/>
      <c r="AB946" s="37"/>
      <c r="AC946" s="37"/>
      <c r="AD946" s="36"/>
      <c r="AE946" s="36"/>
      <c r="AF946" s="36"/>
      <c r="AG946" s="36"/>
      <c r="AH946" s="36"/>
      <c r="AI946" s="36"/>
      <c r="AJ946" s="36"/>
      <c r="AK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7"/>
      <c r="Z947" s="36"/>
      <c r="AA947" s="37"/>
      <c r="AB947" s="37"/>
      <c r="AC947" s="37"/>
      <c r="AD947" s="36"/>
      <c r="AE947" s="36"/>
      <c r="AF947" s="36"/>
      <c r="AG947" s="36"/>
      <c r="AH947" s="36"/>
      <c r="AI947" s="36"/>
      <c r="AJ947" s="36"/>
      <c r="AK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7"/>
      <c r="Z948" s="36"/>
      <c r="AA948" s="37"/>
      <c r="AB948" s="37"/>
      <c r="AC948" s="37"/>
      <c r="AD948" s="36"/>
      <c r="AE948" s="36"/>
      <c r="AF948" s="36"/>
      <c r="AG948" s="36"/>
      <c r="AH948" s="36"/>
      <c r="AI948" s="36"/>
      <c r="AJ948" s="36"/>
      <c r="AK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7"/>
      <c r="Z949" s="36"/>
      <c r="AA949" s="37"/>
      <c r="AB949" s="37"/>
      <c r="AC949" s="37"/>
      <c r="AD949" s="36"/>
      <c r="AE949" s="36"/>
      <c r="AF949" s="36"/>
      <c r="AG949" s="36"/>
      <c r="AH949" s="36"/>
      <c r="AI949" s="36"/>
      <c r="AJ949" s="36"/>
      <c r="AK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7"/>
      <c r="Z950" s="36"/>
      <c r="AA950" s="37"/>
      <c r="AB950" s="37"/>
      <c r="AC950" s="37"/>
      <c r="AD950" s="36"/>
      <c r="AE950" s="36"/>
      <c r="AF950" s="36"/>
      <c r="AG950" s="36"/>
      <c r="AH950" s="36"/>
      <c r="AI950" s="36"/>
      <c r="AJ950" s="36"/>
      <c r="AK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7"/>
      <c r="Z951" s="36"/>
      <c r="AA951" s="37"/>
      <c r="AB951" s="37"/>
      <c r="AC951" s="37"/>
      <c r="AD951" s="36"/>
      <c r="AE951" s="36"/>
      <c r="AF951" s="36"/>
      <c r="AG951" s="36"/>
      <c r="AH951" s="36"/>
      <c r="AI951" s="36"/>
      <c r="AJ951" s="36"/>
      <c r="AK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7"/>
      <c r="Z952" s="36"/>
      <c r="AA952" s="37"/>
      <c r="AB952" s="37"/>
      <c r="AC952" s="37"/>
      <c r="AD952" s="36"/>
      <c r="AE952" s="36"/>
      <c r="AF952" s="36"/>
      <c r="AG952" s="36"/>
      <c r="AH952" s="36"/>
      <c r="AI952" s="36"/>
      <c r="AJ952" s="36"/>
      <c r="AK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7"/>
      <c r="Z953" s="36"/>
      <c r="AA953" s="37"/>
      <c r="AB953" s="37"/>
      <c r="AC953" s="37"/>
      <c r="AD953" s="36"/>
      <c r="AE953" s="36"/>
      <c r="AF953" s="36"/>
      <c r="AG953" s="36"/>
      <c r="AH953" s="36"/>
      <c r="AI953" s="36"/>
      <c r="AJ953" s="36"/>
      <c r="AK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7"/>
      <c r="Z954" s="36"/>
      <c r="AA954" s="37"/>
      <c r="AB954" s="37"/>
      <c r="AC954" s="37"/>
      <c r="AD954" s="36"/>
      <c r="AE954" s="36"/>
      <c r="AF954" s="36"/>
      <c r="AG954" s="36"/>
      <c r="AH954" s="36"/>
      <c r="AI954" s="36"/>
      <c r="AJ954" s="36"/>
      <c r="AK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7"/>
      <c r="Z955" s="36"/>
      <c r="AA955" s="37"/>
      <c r="AB955" s="37"/>
      <c r="AC955" s="37"/>
      <c r="AD955" s="36"/>
      <c r="AE955" s="36"/>
      <c r="AF955" s="36"/>
      <c r="AG955" s="36"/>
      <c r="AH955" s="36"/>
      <c r="AI955" s="36"/>
      <c r="AJ955" s="36"/>
      <c r="AK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7"/>
      <c r="Z956" s="36"/>
      <c r="AA956" s="37"/>
      <c r="AB956" s="37"/>
      <c r="AC956" s="37"/>
      <c r="AD956" s="36"/>
      <c r="AE956" s="36"/>
      <c r="AF956" s="36"/>
      <c r="AG956" s="36"/>
      <c r="AH956" s="36"/>
      <c r="AI956" s="36"/>
      <c r="AJ956" s="36"/>
      <c r="AK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7"/>
      <c r="Z957" s="36"/>
      <c r="AA957" s="37"/>
      <c r="AB957" s="37"/>
      <c r="AC957" s="37"/>
      <c r="AD957" s="36"/>
      <c r="AE957" s="36"/>
      <c r="AF957" s="36"/>
      <c r="AG957" s="36"/>
      <c r="AH957" s="36"/>
      <c r="AI957" s="36"/>
      <c r="AJ957" s="36"/>
      <c r="AK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7"/>
      <c r="Z958" s="36"/>
      <c r="AA958" s="37"/>
      <c r="AB958" s="37"/>
      <c r="AC958" s="37"/>
      <c r="AD958" s="36"/>
      <c r="AE958" s="36"/>
      <c r="AF958" s="36"/>
      <c r="AG958" s="36"/>
      <c r="AH958" s="36"/>
      <c r="AI958" s="36"/>
      <c r="AJ958" s="36"/>
      <c r="AK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7"/>
      <c r="Z959" s="36"/>
      <c r="AA959" s="37"/>
      <c r="AB959" s="37"/>
      <c r="AC959" s="37"/>
      <c r="AD959" s="36"/>
      <c r="AE959" s="36"/>
      <c r="AF959" s="36"/>
      <c r="AG959" s="36"/>
      <c r="AH959" s="36"/>
      <c r="AI959" s="36"/>
      <c r="AJ959" s="36"/>
      <c r="AK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7"/>
      <c r="Z960" s="36"/>
      <c r="AA960" s="37"/>
      <c r="AB960" s="37"/>
      <c r="AC960" s="37"/>
      <c r="AD960" s="36"/>
      <c r="AE960" s="36"/>
      <c r="AF960" s="36"/>
      <c r="AG960" s="36"/>
      <c r="AH960" s="36"/>
      <c r="AI960" s="36"/>
      <c r="AJ960" s="36"/>
      <c r="AK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7"/>
      <c r="Z961" s="36"/>
      <c r="AA961" s="37"/>
      <c r="AB961" s="37"/>
      <c r="AC961" s="37"/>
      <c r="AD961" s="36"/>
      <c r="AE961" s="36"/>
      <c r="AF961" s="36"/>
      <c r="AG961" s="36"/>
      <c r="AH961" s="36"/>
      <c r="AI961" s="36"/>
      <c r="AJ961" s="36"/>
      <c r="AK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7"/>
      <c r="Z962" s="36"/>
      <c r="AA962" s="37"/>
      <c r="AB962" s="37"/>
      <c r="AC962" s="37"/>
      <c r="AD962" s="36"/>
      <c r="AE962" s="36"/>
      <c r="AF962" s="36"/>
      <c r="AG962" s="36"/>
      <c r="AH962" s="36"/>
      <c r="AI962" s="36"/>
      <c r="AJ962" s="36"/>
      <c r="AK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7"/>
      <c r="Z963" s="36"/>
      <c r="AA963" s="37"/>
      <c r="AB963" s="37"/>
      <c r="AC963" s="37"/>
      <c r="AD963" s="36"/>
      <c r="AE963" s="36"/>
      <c r="AF963" s="36"/>
      <c r="AG963" s="36"/>
      <c r="AH963" s="36"/>
      <c r="AI963" s="36"/>
      <c r="AJ963" s="36"/>
      <c r="AK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7"/>
      <c r="Z964" s="36"/>
      <c r="AA964" s="37"/>
      <c r="AB964" s="37"/>
      <c r="AC964" s="37"/>
      <c r="AD964" s="36"/>
      <c r="AE964" s="36"/>
      <c r="AF964" s="36"/>
      <c r="AG964" s="36"/>
      <c r="AH964" s="36"/>
      <c r="AI964" s="36"/>
      <c r="AJ964" s="36"/>
      <c r="AK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7"/>
      <c r="Z965" s="36"/>
      <c r="AA965" s="37"/>
      <c r="AB965" s="37"/>
      <c r="AC965" s="37"/>
      <c r="AD965" s="36"/>
      <c r="AE965" s="36"/>
      <c r="AF965" s="36"/>
      <c r="AG965" s="36"/>
      <c r="AH965" s="36"/>
      <c r="AI965" s="36"/>
      <c r="AJ965" s="36"/>
      <c r="AK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7"/>
      <c r="Z966" s="36"/>
      <c r="AA966" s="37"/>
      <c r="AB966" s="37"/>
      <c r="AC966" s="37"/>
      <c r="AD966" s="36"/>
      <c r="AE966" s="36"/>
      <c r="AF966" s="36"/>
      <c r="AG966" s="36"/>
      <c r="AH966" s="36"/>
      <c r="AI966" s="36"/>
      <c r="AJ966" s="36"/>
      <c r="AK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7"/>
      <c r="Z967" s="36"/>
      <c r="AA967" s="37"/>
      <c r="AB967" s="37"/>
      <c r="AC967" s="37"/>
      <c r="AD967" s="36"/>
      <c r="AE967" s="36"/>
      <c r="AF967" s="36"/>
      <c r="AG967" s="36"/>
      <c r="AH967" s="36"/>
      <c r="AI967" s="36"/>
      <c r="AJ967" s="36"/>
      <c r="AK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7"/>
      <c r="Z968" s="36"/>
      <c r="AA968" s="37"/>
      <c r="AB968" s="37"/>
      <c r="AC968" s="37"/>
      <c r="AD968" s="36"/>
      <c r="AE968" s="36"/>
      <c r="AF968" s="36"/>
      <c r="AG968" s="36"/>
      <c r="AH968" s="36"/>
      <c r="AI968" s="36"/>
      <c r="AJ968" s="36"/>
      <c r="AK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7"/>
      <c r="Z969" s="36"/>
      <c r="AA969" s="37"/>
      <c r="AB969" s="37"/>
      <c r="AC969" s="37"/>
      <c r="AD969" s="36"/>
      <c r="AE969" s="36"/>
      <c r="AF969" s="36"/>
      <c r="AG969" s="36"/>
      <c r="AH969" s="36"/>
      <c r="AI969" s="36"/>
      <c r="AJ969" s="36"/>
      <c r="AK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7"/>
      <c r="Z970" s="36"/>
      <c r="AA970" s="37"/>
      <c r="AB970" s="37"/>
      <c r="AC970" s="37"/>
      <c r="AD970" s="36"/>
      <c r="AE970" s="36"/>
      <c r="AF970" s="36"/>
      <c r="AG970" s="36"/>
      <c r="AH970" s="36"/>
      <c r="AI970" s="36"/>
      <c r="AJ970" s="36"/>
      <c r="AK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7"/>
      <c r="Z971" s="36"/>
      <c r="AA971" s="37"/>
      <c r="AB971" s="37"/>
      <c r="AC971" s="37"/>
      <c r="AD971" s="36"/>
      <c r="AE971" s="36"/>
      <c r="AF971" s="36"/>
      <c r="AG971" s="36"/>
      <c r="AH971" s="36"/>
      <c r="AI971" s="36"/>
      <c r="AJ971" s="36"/>
      <c r="AK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7"/>
      <c r="Z972" s="36"/>
      <c r="AA972" s="37"/>
      <c r="AB972" s="37"/>
      <c r="AC972" s="37"/>
      <c r="AD972" s="36"/>
      <c r="AE972" s="36"/>
      <c r="AF972" s="36"/>
      <c r="AG972" s="36"/>
      <c r="AH972" s="36"/>
      <c r="AI972" s="36"/>
      <c r="AJ972" s="36"/>
      <c r="AK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7"/>
      <c r="Z973" s="36"/>
      <c r="AA973" s="37"/>
      <c r="AB973" s="37"/>
      <c r="AC973" s="37"/>
      <c r="AD973" s="36"/>
      <c r="AE973" s="36"/>
      <c r="AF973" s="36"/>
      <c r="AG973" s="36"/>
      <c r="AH973" s="36"/>
      <c r="AI973" s="36"/>
      <c r="AJ973" s="36"/>
      <c r="AK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7"/>
      <c r="Z974" s="36"/>
      <c r="AA974" s="37"/>
      <c r="AB974" s="37"/>
      <c r="AC974" s="37"/>
      <c r="AD974" s="36"/>
      <c r="AE974" s="36"/>
      <c r="AF974" s="36"/>
      <c r="AG974" s="36"/>
      <c r="AH974" s="36"/>
      <c r="AI974" s="36"/>
      <c r="AJ974" s="36"/>
      <c r="AK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7"/>
      <c r="Z975" s="36"/>
      <c r="AA975" s="37"/>
      <c r="AB975" s="37"/>
      <c r="AC975" s="37"/>
      <c r="AD975" s="36"/>
      <c r="AE975" s="36"/>
      <c r="AF975" s="36"/>
      <c r="AG975" s="36"/>
      <c r="AH975" s="36"/>
      <c r="AI975" s="36"/>
      <c r="AJ975" s="36"/>
      <c r="AK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7"/>
      <c r="Z976" s="36"/>
      <c r="AA976" s="37"/>
      <c r="AB976" s="37"/>
      <c r="AC976" s="37"/>
      <c r="AD976" s="36"/>
      <c r="AE976" s="36"/>
      <c r="AF976" s="36"/>
      <c r="AG976" s="36"/>
      <c r="AH976" s="36"/>
      <c r="AI976" s="36"/>
      <c r="AJ976" s="36"/>
      <c r="AK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7"/>
      <c r="Z977" s="36"/>
      <c r="AA977" s="37"/>
      <c r="AB977" s="37"/>
      <c r="AC977" s="37"/>
      <c r="AD977" s="36"/>
      <c r="AE977" s="36"/>
      <c r="AF977" s="36"/>
      <c r="AG977" s="36"/>
      <c r="AH977" s="36"/>
      <c r="AI977" s="36"/>
      <c r="AJ977" s="36"/>
      <c r="AK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7"/>
      <c r="Z978" s="36"/>
      <c r="AA978" s="37"/>
      <c r="AB978" s="37"/>
      <c r="AC978" s="37"/>
      <c r="AD978" s="36"/>
      <c r="AE978" s="36"/>
      <c r="AF978" s="36"/>
      <c r="AG978" s="36"/>
      <c r="AH978" s="36"/>
      <c r="AI978" s="36"/>
      <c r="AJ978" s="36"/>
      <c r="AK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7"/>
      <c r="Z979" s="36"/>
      <c r="AA979" s="37"/>
      <c r="AB979" s="37"/>
      <c r="AC979" s="37"/>
      <c r="AD979" s="36"/>
      <c r="AE979" s="36"/>
      <c r="AF979" s="36"/>
      <c r="AG979" s="36"/>
      <c r="AH979" s="36"/>
      <c r="AI979" s="36"/>
      <c r="AJ979" s="36"/>
      <c r="AK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7"/>
      <c r="Z980" s="36"/>
      <c r="AA980" s="37"/>
      <c r="AB980" s="37"/>
      <c r="AC980" s="37"/>
      <c r="AD980" s="36"/>
      <c r="AE980" s="36"/>
      <c r="AF980" s="36"/>
      <c r="AG980" s="36"/>
      <c r="AH980" s="36"/>
      <c r="AI980" s="36"/>
      <c r="AJ980" s="36"/>
      <c r="AK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7"/>
      <c r="Z981" s="36"/>
      <c r="AA981" s="37"/>
      <c r="AB981" s="37"/>
      <c r="AC981" s="37"/>
      <c r="AD981" s="36"/>
      <c r="AE981" s="36"/>
      <c r="AF981" s="36"/>
      <c r="AG981" s="36"/>
      <c r="AH981" s="36"/>
      <c r="AI981" s="36"/>
      <c r="AJ981" s="36"/>
      <c r="AK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7"/>
      <c r="Z982" s="36"/>
      <c r="AA982" s="37"/>
      <c r="AB982" s="37"/>
      <c r="AC982" s="37"/>
      <c r="AD982" s="36"/>
      <c r="AE982" s="36"/>
      <c r="AF982" s="36"/>
      <c r="AG982" s="36"/>
      <c r="AH982" s="36"/>
      <c r="AI982" s="36"/>
      <c r="AJ982" s="36"/>
      <c r="AK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7"/>
      <c r="Z983" s="36"/>
      <c r="AA983" s="37"/>
      <c r="AB983" s="37"/>
      <c r="AC983" s="37"/>
      <c r="AD983" s="36"/>
      <c r="AE983" s="36"/>
      <c r="AF983" s="36"/>
      <c r="AG983" s="36"/>
      <c r="AH983" s="36"/>
      <c r="AI983" s="36"/>
      <c r="AJ983" s="36"/>
      <c r="AK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7"/>
      <c r="Z984" s="36"/>
      <c r="AA984" s="37"/>
      <c r="AB984" s="37"/>
      <c r="AC984" s="37"/>
      <c r="AD984" s="36"/>
      <c r="AE984" s="36"/>
      <c r="AF984" s="36"/>
      <c r="AG984" s="36"/>
      <c r="AH984" s="36"/>
      <c r="AI984" s="36"/>
      <c r="AJ984" s="36"/>
      <c r="AK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7"/>
      <c r="Z985" s="36"/>
      <c r="AA985" s="37"/>
      <c r="AB985" s="37"/>
      <c r="AC985" s="37"/>
      <c r="AD985" s="36"/>
      <c r="AE985" s="36"/>
      <c r="AF985" s="36"/>
      <c r="AG985" s="36"/>
      <c r="AH985" s="36"/>
      <c r="AI985" s="36"/>
      <c r="AJ985" s="36"/>
      <c r="AK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7"/>
      <c r="Z986" s="36"/>
      <c r="AA986" s="37"/>
      <c r="AB986" s="37"/>
      <c r="AC986" s="37"/>
      <c r="AD986" s="36"/>
      <c r="AE986" s="36"/>
      <c r="AF986" s="36"/>
      <c r="AG986" s="36"/>
      <c r="AH986" s="36"/>
      <c r="AI986" s="36"/>
      <c r="AJ986" s="36"/>
      <c r="AK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7"/>
      <c r="Z987" s="36"/>
      <c r="AA987" s="37"/>
      <c r="AB987" s="37"/>
      <c r="AC987" s="37"/>
      <c r="AD987" s="36"/>
      <c r="AE987" s="36"/>
      <c r="AF987" s="36"/>
      <c r="AG987" s="36"/>
      <c r="AH987" s="36"/>
      <c r="AI987" s="36"/>
      <c r="AJ987" s="36"/>
      <c r="AK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7"/>
      <c r="Z988" s="36"/>
      <c r="AA988" s="37"/>
      <c r="AB988" s="37"/>
      <c r="AC988" s="37"/>
      <c r="AD988" s="36"/>
      <c r="AE988" s="36"/>
      <c r="AF988" s="36"/>
      <c r="AG988" s="36"/>
      <c r="AH988" s="36"/>
      <c r="AI988" s="36"/>
      <c r="AJ988" s="36"/>
      <c r="AK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7"/>
      <c r="Z989" s="36"/>
      <c r="AA989" s="37"/>
      <c r="AB989" s="37"/>
      <c r="AC989" s="37"/>
      <c r="AD989" s="36"/>
      <c r="AE989" s="36"/>
      <c r="AF989" s="36"/>
      <c r="AG989" s="36"/>
      <c r="AH989" s="36"/>
      <c r="AI989" s="36"/>
      <c r="AJ989" s="36"/>
      <c r="AK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7"/>
      <c r="Z990" s="36"/>
      <c r="AA990" s="37"/>
      <c r="AB990" s="37"/>
      <c r="AC990" s="37"/>
      <c r="AD990" s="36"/>
      <c r="AE990" s="36"/>
      <c r="AF990" s="36"/>
      <c r="AG990" s="36"/>
      <c r="AH990" s="36"/>
      <c r="AI990" s="36"/>
      <c r="AJ990" s="36"/>
      <c r="AK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7"/>
      <c r="Z991" s="36"/>
      <c r="AA991" s="37"/>
      <c r="AB991" s="37"/>
      <c r="AC991" s="37"/>
      <c r="AD991" s="36"/>
      <c r="AE991" s="36"/>
      <c r="AF991" s="36"/>
      <c r="AG991" s="36"/>
      <c r="AH991" s="36"/>
      <c r="AI991" s="36"/>
      <c r="AJ991" s="36"/>
      <c r="AK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7"/>
      <c r="Z992" s="36"/>
      <c r="AA992" s="37"/>
      <c r="AB992" s="37"/>
      <c r="AC992" s="37"/>
      <c r="AD992" s="36"/>
      <c r="AE992" s="36"/>
      <c r="AF992" s="36"/>
      <c r="AG992" s="36"/>
      <c r="AH992" s="36"/>
      <c r="AI992" s="36"/>
      <c r="AJ992" s="36"/>
      <c r="AK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7"/>
      <c r="Z993" s="36"/>
      <c r="AA993" s="37"/>
      <c r="AB993" s="37"/>
      <c r="AC993" s="37"/>
      <c r="AD993" s="36"/>
      <c r="AE993" s="36"/>
      <c r="AF993" s="36"/>
      <c r="AG993" s="36"/>
      <c r="AH993" s="36"/>
      <c r="AI993" s="36"/>
      <c r="AJ993" s="36"/>
      <c r="AK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7"/>
      <c r="Z994" s="36"/>
      <c r="AA994" s="37"/>
      <c r="AB994" s="37"/>
      <c r="AC994" s="37"/>
      <c r="AD994" s="36"/>
      <c r="AE994" s="36"/>
      <c r="AF994" s="36"/>
      <c r="AG994" s="36"/>
      <c r="AH994" s="36"/>
      <c r="AI994" s="36"/>
      <c r="AJ994" s="36"/>
      <c r="AK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7"/>
      <c r="Z995" s="36"/>
      <c r="AA995" s="37"/>
      <c r="AB995" s="37"/>
      <c r="AC995" s="37"/>
      <c r="AD995" s="36"/>
      <c r="AE995" s="36"/>
      <c r="AF995" s="36"/>
      <c r="AG995" s="36"/>
      <c r="AH995" s="36"/>
      <c r="AI995" s="36"/>
      <c r="AJ995" s="36"/>
      <c r="AK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7"/>
      <c r="Z996" s="36"/>
      <c r="AA996" s="37"/>
      <c r="AB996" s="37"/>
      <c r="AC996" s="37"/>
      <c r="AD996" s="36"/>
      <c r="AE996" s="36"/>
      <c r="AF996" s="36"/>
      <c r="AG996" s="36"/>
      <c r="AH996" s="36"/>
      <c r="AI996" s="36"/>
      <c r="AJ996" s="36"/>
      <c r="AK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7"/>
      <c r="Z997" s="36"/>
      <c r="AA997" s="37"/>
      <c r="AB997" s="37"/>
      <c r="AC997" s="37"/>
      <c r="AD997" s="36"/>
      <c r="AE997" s="36"/>
      <c r="AF997" s="36"/>
      <c r="AG997" s="36"/>
      <c r="AH997" s="36"/>
      <c r="AI997" s="36"/>
      <c r="AJ997" s="36"/>
      <c r="AK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7"/>
      <c r="Z998" s="36"/>
      <c r="AA998" s="37"/>
      <c r="AB998" s="37"/>
      <c r="AC998" s="37"/>
      <c r="AD998" s="36"/>
      <c r="AE998" s="36"/>
      <c r="AF998" s="36"/>
      <c r="AG998" s="36"/>
      <c r="AH998" s="36"/>
      <c r="AI998" s="36"/>
      <c r="AJ998" s="36"/>
      <c r="AK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7"/>
      <c r="Z999" s="36"/>
      <c r="AA999" s="37"/>
      <c r="AB999" s="37"/>
      <c r="AC999" s="37"/>
      <c r="AD999" s="36"/>
      <c r="AE999" s="36"/>
      <c r="AF999" s="36"/>
      <c r="AG999" s="36"/>
      <c r="AH999" s="36"/>
      <c r="AI999" s="36"/>
      <c r="AJ999" s="36"/>
      <c r="AK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7"/>
      <c r="Z1000" s="36"/>
      <c r="AA1000" s="37"/>
      <c r="AB1000" s="37"/>
      <c r="AC1000" s="37"/>
      <c r="AD1000" s="36"/>
      <c r="AE1000" s="36"/>
      <c r="AF1000" s="36"/>
      <c r="AG1000" s="36"/>
      <c r="AH1000" s="36"/>
      <c r="AI1000" s="36"/>
      <c r="AJ1000" s="36"/>
      <c r="AK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7"/>
      <c r="Z1001" s="36"/>
      <c r="AA1001" s="37"/>
      <c r="AB1001" s="37"/>
      <c r="AC1001" s="37"/>
      <c r="AD1001" s="36"/>
      <c r="AE1001" s="36"/>
      <c r="AF1001" s="36"/>
      <c r="AG1001" s="36"/>
      <c r="AH1001" s="36"/>
      <c r="AI1001" s="36"/>
      <c r="AJ1001" s="36"/>
      <c r="AK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7"/>
      <c r="Z1002" s="36"/>
      <c r="AA1002" s="37"/>
      <c r="AB1002" s="37"/>
      <c r="AC1002" s="37"/>
      <c r="AD1002" s="36"/>
      <c r="AE1002" s="36"/>
      <c r="AF1002" s="36"/>
      <c r="AG1002" s="36"/>
      <c r="AH1002" s="36"/>
      <c r="AI1002" s="36"/>
      <c r="AJ1002" s="36"/>
      <c r="AK1002" s="36"/>
    </row>
  </sheetData>
  <conditionalFormatting sqref="C2:C1002">
    <cfRule type="notContainsBlanks" dxfId="2" priority="1">
      <formula>LEN(TRIM(C2))&gt;0</formula>
    </cfRule>
  </conditionalFormatting>
  <conditionalFormatting sqref="S2:S1002">
    <cfRule type="expression" dxfId="2" priority="2">
      <formula>"C is not empty"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3.63"/>
  </cols>
  <sheetData>
    <row r="1">
      <c r="A1" s="46" t="s">
        <v>85</v>
      </c>
      <c r="B1" s="47" t="s">
        <v>86</v>
      </c>
      <c r="C1" s="47" t="s">
        <v>87</v>
      </c>
    </row>
    <row r="2">
      <c r="A2" s="48" t="s">
        <v>88</v>
      </c>
      <c r="B2" s="14">
        <v>3000.0</v>
      </c>
      <c r="C2" s="14">
        <v>4000.0</v>
      </c>
    </row>
    <row r="3">
      <c r="A3" s="49" t="s">
        <v>89</v>
      </c>
      <c r="B3" s="14">
        <v>800.0</v>
      </c>
      <c r="C3" s="14">
        <v>1000.0</v>
      </c>
    </row>
    <row r="4">
      <c r="A4" s="48" t="s">
        <v>90</v>
      </c>
      <c r="B4" s="14">
        <v>500.0</v>
      </c>
      <c r="C4" s="14">
        <v>500.0</v>
      </c>
    </row>
    <row r="5">
      <c r="A5" s="49" t="s">
        <v>91</v>
      </c>
      <c r="B5" s="14">
        <v>500.0</v>
      </c>
      <c r="C5" s="14">
        <v>500.0</v>
      </c>
    </row>
    <row r="6">
      <c r="A6" s="49" t="s">
        <v>92</v>
      </c>
      <c r="B6" s="14">
        <v>2500.0</v>
      </c>
      <c r="C6" s="14">
        <v>2500.0</v>
      </c>
    </row>
    <row r="7">
      <c r="A7" s="49" t="s">
        <v>93</v>
      </c>
      <c r="B7" s="14">
        <v>1500.0</v>
      </c>
      <c r="C7" s="14">
        <v>1500.0</v>
      </c>
    </row>
    <row r="8">
      <c r="A8" s="49" t="s">
        <v>94</v>
      </c>
      <c r="B8" s="14">
        <v>500.0</v>
      </c>
      <c r="C8" s="14">
        <v>1000.0</v>
      </c>
    </row>
    <row r="9">
      <c r="A9" s="49"/>
      <c r="B9" s="14"/>
      <c r="C9" s="14"/>
    </row>
    <row r="10">
      <c r="A10" s="49"/>
      <c r="B10" s="50"/>
      <c r="C10" s="50"/>
    </row>
    <row r="11">
      <c r="A11" s="49"/>
      <c r="B11" s="51"/>
      <c r="C11" s="51"/>
    </row>
    <row r="12">
      <c r="A12" s="49" t="s">
        <v>95</v>
      </c>
      <c r="B12" s="14">
        <f t="shared" ref="B12:C12" si="1">SUM(B2:B10)</f>
        <v>9300</v>
      </c>
      <c r="C12" s="14">
        <f t="shared" si="1"/>
        <v>11000</v>
      </c>
    </row>
    <row r="13">
      <c r="A13" s="52"/>
    </row>
    <row r="14">
      <c r="A14" s="52"/>
    </row>
    <row r="15">
      <c r="A15" s="53" t="s">
        <v>96</v>
      </c>
    </row>
    <row r="16">
      <c r="A16" s="52"/>
    </row>
    <row r="17">
      <c r="A17" s="52"/>
    </row>
    <row r="18">
      <c r="A18" s="52"/>
    </row>
    <row r="19">
      <c r="A19" s="52"/>
    </row>
    <row r="20">
      <c r="A20" s="52"/>
    </row>
    <row r="21">
      <c r="A21" s="52"/>
    </row>
    <row r="22">
      <c r="A22" s="52"/>
    </row>
    <row r="23">
      <c r="A23" s="52"/>
    </row>
    <row r="24">
      <c r="A24" s="52"/>
    </row>
    <row r="25">
      <c r="A25" s="52"/>
    </row>
    <row r="26">
      <c r="A26" s="52"/>
    </row>
    <row r="27">
      <c r="A27" s="52"/>
    </row>
    <row r="28">
      <c r="A28" s="52"/>
    </row>
    <row r="29">
      <c r="A29" s="52"/>
    </row>
    <row r="30">
      <c r="A30" s="52"/>
    </row>
    <row r="31">
      <c r="A31" s="52"/>
    </row>
    <row r="32">
      <c r="A32" s="52"/>
    </row>
    <row r="33">
      <c r="A33" s="52"/>
    </row>
    <row r="34">
      <c r="A34" s="52"/>
    </row>
    <row r="35">
      <c r="A35" s="52"/>
    </row>
    <row r="36">
      <c r="A36" s="52"/>
    </row>
    <row r="37">
      <c r="A37" s="52"/>
    </row>
    <row r="38">
      <c r="A38" s="52"/>
    </row>
    <row r="39">
      <c r="A39" s="52"/>
    </row>
    <row r="40">
      <c r="A40" s="52"/>
    </row>
    <row r="41">
      <c r="A41" s="52"/>
    </row>
    <row r="42">
      <c r="A42" s="52"/>
    </row>
    <row r="43">
      <c r="A43" s="52"/>
    </row>
    <row r="44">
      <c r="A44" s="52"/>
    </row>
    <row r="45">
      <c r="A45" s="52"/>
    </row>
    <row r="46">
      <c r="A46" s="52"/>
    </row>
    <row r="47">
      <c r="A47" s="52"/>
    </row>
    <row r="48">
      <c r="A48" s="52"/>
    </row>
    <row r="49">
      <c r="A49" s="52"/>
    </row>
    <row r="50">
      <c r="A50" s="52"/>
    </row>
    <row r="51">
      <c r="A51" s="52"/>
    </row>
    <row r="52">
      <c r="A52" s="52"/>
    </row>
    <row r="53">
      <c r="A53" s="52"/>
    </row>
    <row r="54">
      <c r="A54" s="52"/>
    </row>
    <row r="55">
      <c r="A55" s="52"/>
    </row>
    <row r="56">
      <c r="A56" s="52"/>
    </row>
    <row r="57">
      <c r="A57" s="52"/>
    </row>
    <row r="58">
      <c r="A58" s="52"/>
    </row>
    <row r="59">
      <c r="A59" s="52"/>
    </row>
    <row r="60">
      <c r="A60" s="52"/>
    </row>
    <row r="61">
      <c r="A61" s="52"/>
    </row>
    <row r="62">
      <c r="A62" s="52"/>
    </row>
    <row r="63">
      <c r="A63" s="52"/>
    </row>
    <row r="64">
      <c r="A64" s="52"/>
    </row>
    <row r="65">
      <c r="A65" s="52"/>
    </row>
    <row r="66">
      <c r="A66" s="52"/>
    </row>
    <row r="67">
      <c r="A67" s="52"/>
    </row>
    <row r="68">
      <c r="A68" s="52"/>
    </row>
    <row r="69">
      <c r="A69" s="52"/>
    </row>
    <row r="70">
      <c r="A70" s="52"/>
    </row>
    <row r="71">
      <c r="A71" s="52"/>
    </row>
    <row r="72">
      <c r="A72" s="52"/>
    </row>
    <row r="73">
      <c r="A73" s="52"/>
    </row>
    <row r="74">
      <c r="A74" s="52"/>
    </row>
    <row r="75">
      <c r="A75" s="52"/>
    </row>
    <row r="76">
      <c r="A76" s="52"/>
    </row>
    <row r="77">
      <c r="A77" s="52"/>
    </row>
    <row r="78">
      <c r="A78" s="52"/>
    </row>
    <row r="79">
      <c r="A79" s="52"/>
    </row>
    <row r="80">
      <c r="A80" s="52"/>
    </row>
    <row r="81">
      <c r="A81" s="52"/>
    </row>
    <row r="82">
      <c r="A82" s="52"/>
    </row>
    <row r="83">
      <c r="A83" s="52"/>
    </row>
    <row r="84">
      <c r="A84" s="52"/>
    </row>
    <row r="85">
      <c r="A85" s="52"/>
    </row>
    <row r="86">
      <c r="A86" s="52"/>
    </row>
    <row r="87">
      <c r="A87" s="52"/>
    </row>
    <row r="88">
      <c r="A88" s="52"/>
    </row>
    <row r="89">
      <c r="A89" s="52"/>
    </row>
    <row r="90">
      <c r="A90" s="52"/>
    </row>
    <row r="91">
      <c r="A91" s="52"/>
    </row>
    <row r="92">
      <c r="A92" s="52"/>
    </row>
    <row r="93">
      <c r="A93" s="52"/>
    </row>
    <row r="94">
      <c r="A94" s="52"/>
    </row>
    <row r="95">
      <c r="A95" s="52"/>
    </row>
    <row r="96">
      <c r="A96" s="52"/>
    </row>
    <row r="97">
      <c r="A97" s="52"/>
    </row>
    <row r="98">
      <c r="A98" s="52"/>
    </row>
    <row r="99">
      <c r="A99" s="52"/>
    </row>
    <row r="100">
      <c r="A100" s="52"/>
    </row>
    <row r="101">
      <c r="A101" s="52"/>
    </row>
    <row r="102">
      <c r="A102" s="52"/>
    </row>
    <row r="103">
      <c r="A103" s="52"/>
    </row>
    <row r="104">
      <c r="A104" s="52"/>
    </row>
    <row r="105">
      <c r="A105" s="52"/>
    </row>
    <row r="106">
      <c r="A106" s="52"/>
    </row>
    <row r="107">
      <c r="A107" s="52"/>
    </row>
    <row r="108">
      <c r="A108" s="52"/>
    </row>
    <row r="109">
      <c r="A109" s="52"/>
    </row>
    <row r="110">
      <c r="A110" s="52"/>
    </row>
    <row r="111">
      <c r="A111" s="52"/>
    </row>
    <row r="112">
      <c r="A112" s="52"/>
    </row>
    <row r="113">
      <c r="A113" s="52"/>
    </row>
    <row r="114">
      <c r="A114" s="52"/>
    </row>
    <row r="115">
      <c r="A115" s="52"/>
    </row>
    <row r="116">
      <c r="A116" s="52"/>
    </row>
    <row r="117">
      <c r="A117" s="52"/>
    </row>
    <row r="118">
      <c r="A118" s="52"/>
    </row>
    <row r="119">
      <c r="A119" s="52"/>
    </row>
    <row r="120">
      <c r="A120" s="52"/>
    </row>
    <row r="121">
      <c r="A121" s="52"/>
    </row>
    <row r="122">
      <c r="A122" s="52"/>
    </row>
    <row r="123">
      <c r="A123" s="52"/>
    </row>
    <row r="124">
      <c r="A124" s="52"/>
    </row>
    <row r="125">
      <c r="A125" s="52"/>
    </row>
    <row r="126">
      <c r="A126" s="52"/>
    </row>
    <row r="127">
      <c r="A127" s="52"/>
    </row>
    <row r="128">
      <c r="A128" s="52"/>
    </row>
    <row r="129">
      <c r="A129" s="52"/>
    </row>
    <row r="130">
      <c r="A130" s="52"/>
    </row>
    <row r="131">
      <c r="A131" s="52"/>
    </row>
    <row r="132">
      <c r="A132" s="52"/>
    </row>
    <row r="133">
      <c r="A133" s="52"/>
    </row>
    <row r="134">
      <c r="A134" s="52"/>
    </row>
    <row r="135">
      <c r="A135" s="52"/>
    </row>
    <row r="136">
      <c r="A136" s="52"/>
    </row>
    <row r="137">
      <c r="A137" s="52"/>
    </row>
    <row r="138">
      <c r="A138" s="52"/>
    </row>
    <row r="139">
      <c r="A139" s="52"/>
    </row>
    <row r="140">
      <c r="A140" s="52"/>
    </row>
    <row r="141">
      <c r="A141" s="52"/>
    </row>
    <row r="142">
      <c r="A142" s="52"/>
    </row>
    <row r="143">
      <c r="A143" s="52"/>
    </row>
    <row r="144">
      <c r="A144" s="52"/>
    </row>
    <row r="145">
      <c r="A145" s="52"/>
    </row>
    <row r="146">
      <c r="A146" s="52"/>
    </row>
    <row r="147">
      <c r="A147" s="52"/>
    </row>
    <row r="148">
      <c r="A148" s="52"/>
    </row>
    <row r="149">
      <c r="A149" s="52"/>
    </row>
    <row r="150">
      <c r="A150" s="52"/>
    </row>
    <row r="151">
      <c r="A151" s="52"/>
    </row>
    <row r="152">
      <c r="A152" s="52"/>
    </row>
    <row r="153">
      <c r="A153" s="52"/>
    </row>
    <row r="154">
      <c r="A154" s="52"/>
    </row>
    <row r="155">
      <c r="A155" s="52"/>
    </row>
    <row r="156">
      <c r="A156" s="52"/>
    </row>
    <row r="157">
      <c r="A157" s="52"/>
    </row>
    <row r="158">
      <c r="A158" s="52"/>
    </row>
    <row r="159">
      <c r="A159" s="52"/>
    </row>
    <row r="160">
      <c r="A160" s="52"/>
    </row>
    <row r="161">
      <c r="A161" s="52"/>
    </row>
    <row r="162">
      <c r="A162" s="52"/>
    </row>
    <row r="163">
      <c r="A163" s="52"/>
    </row>
    <row r="164">
      <c r="A164" s="52"/>
    </row>
    <row r="165">
      <c r="A165" s="52"/>
    </row>
    <row r="166">
      <c r="A166" s="52"/>
    </row>
    <row r="167">
      <c r="A167" s="52"/>
    </row>
    <row r="168">
      <c r="A168" s="52"/>
    </row>
    <row r="169">
      <c r="A169" s="52"/>
    </row>
    <row r="170">
      <c r="A170" s="52"/>
    </row>
    <row r="171">
      <c r="A171" s="52"/>
    </row>
    <row r="172">
      <c r="A172" s="52"/>
    </row>
    <row r="173">
      <c r="A173" s="52"/>
    </row>
    <row r="174">
      <c r="A174" s="52"/>
    </row>
    <row r="175">
      <c r="A175" s="52"/>
    </row>
    <row r="176">
      <c r="A176" s="52"/>
    </row>
    <row r="177">
      <c r="A177" s="52"/>
    </row>
    <row r="178">
      <c r="A178" s="52"/>
    </row>
    <row r="179">
      <c r="A179" s="52"/>
    </row>
    <row r="180">
      <c r="A180" s="52"/>
    </row>
    <row r="181">
      <c r="A181" s="52"/>
    </row>
    <row r="182">
      <c r="A182" s="52"/>
    </row>
    <row r="183">
      <c r="A183" s="52"/>
    </row>
    <row r="184">
      <c r="A184" s="52"/>
    </row>
    <row r="185">
      <c r="A185" s="52"/>
    </row>
    <row r="186">
      <c r="A186" s="52"/>
    </row>
    <row r="187">
      <c r="A187" s="52"/>
    </row>
    <row r="188">
      <c r="A188" s="52"/>
    </row>
    <row r="189">
      <c r="A189" s="52"/>
    </row>
    <row r="190">
      <c r="A190" s="52"/>
    </row>
    <row r="191">
      <c r="A191" s="52"/>
    </row>
    <row r="192">
      <c r="A192" s="52"/>
    </row>
    <row r="193">
      <c r="A193" s="52"/>
    </row>
    <row r="194">
      <c r="A194" s="52"/>
    </row>
    <row r="195">
      <c r="A195" s="52"/>
    </row>
    <row r="196">
      <c r="A196" s="52"/>
    </row>
    <row r="197">
      <c r="A197" s="52"/>
    </row>
    <row r="198">
      <c r="A198" s="52"/>
    </row>
    <row r="199">
      <c r="A199" s="52"/>
    </row>
    <row r="200">
      <c r="A200" s="52"/>
    </row>
    <row r="201">
      <c r="A201" s="52"/>
    </row>
    <row r="202">
      <c r="A202" s="52"/>
    </row>
    <row r="203">
      <c r="A203" s="52"/>
    </row>
    <row r="204">
      <c r="A204" s="52"/>
    </row>
    <row r="205">
      <c r="A205" s="52"/>
    </row>
    <row r="206">
      <c r="A206" s="52"/>
    </row>
    <row r="207">
      <c r="A207" s="52"/>
    </row>
    <row r="208">
      <c r="A208" s="52"/>
    </row>
    <row r="209">
      <c r="A209" s="52"/>
    </row>
    <row r="210">
      <c r="A210" s="52"/>
    </row>
    <row r="211">
      <c r="A211" s="52"/>
    </row>
    <row r="212">
      <c r="A212" s="52"/>
    </row>
    <row r="213">
      <c r="A213" s="52"/>
    </row>
    <row r="214">
      <c r="A214" s="52"/>
    </row>
    <row r="215">
      <c r="A215" s="52"/>
    </row>
    <row r="216">
      <c r="A216" s="52"/>
    </row>
    <row r="217">
      <c r="A217" s="52"/>
    </row>
    <row r="218">
      <c r="A218" s="52"/>
    </row>
    <row r="219">
      <c r="A219" s="52"/>
    </row>
    <row r="220">
      <c r="A220" s="52"/>
    </row>
    <row r="221">
      <c r="A221" s="52"/>
    </row>
    <row r="222">
      <c r="A222" s="52"/>
    </row>
    <row r="223">
      <c r="A223" s="52"/>
    </row>
    <row r="224">
      <c r="A224" s="52"/>
    </row>
    <row r="225">
      <c r="A225" s="52"/>
    </row>
    <row r="226">
      <c r="A226" s="52"/>
    </row>
    <row r="227">
      <c r="A227" s="52"/>
    </row>
    <row r="228">
      <c r="A228" s="52"/>
    </row>
    <row r="229">
      <c r="A229" s="52"/>
    </row>
    <row r="230">
      <c r="A230" s="52"/>
    </row>
    <row r="231">
      <c r="A231" s="52"/>
    </row>
    <row r="232">
      <c r="A232" s="52"/>
    </row>
    <row r="233">
      <c r="A233" s="52"/>
    </row>
    <row r="234">
      <c r="A234" s="52"/>
    </row>
    <row r="235">
      <c r="A235" s="52"/>
    </row>
    <row r="236">
      <c r="A236" s="52"/>
    </row>
    <row r="237">
      <c r="A237" s="52"/>
    </row>
    <row r="238">
      <c r="A238" s="52"/>
    </row>
    <row r="239">
      <c r="A239" s="52"/>
    </row>
    <row r="240">
      <c r="A240" s="52"/>
    </row>
    <row r="241">
      <c r="A241" s="52"/>
    </row>
    <row r="242">
      <c r="A242" s="52"/>
    </row>
    <row r="243">
      <c r="A243" s="52"/>
    </row>
    <row r="244">
      <c r="A244" s="52"/>
    </row>
    <row r="245">
      <c r="A245" s="52"/>
    </row>
    <row r="246">
      <c r="A246" s="52"/>
    </row>
    <row r="247">
      <c r="A247" s="52"/>
    </row>
    <row r="248">
      <c r="A248" s="52"/>
    </row>
    <row r="249">
      <c r="A249" s="52"/>
    </row>
    <row r="250">
      <c r="A250" s="52"/>
    </row>
    <row r="251">
      <c r="A251" s="52"/>
    </row>
    <row r="252">
      <c r="A252" s="52"/>
    </row>
    <row r="253">
      <c r="A253" s="52"/>
    </row>
    <row r="254">
      <c r="A254" s="52"/>
    </row>
    <row r="255">
      <c r="A255" s="52"/>
    </row>
    <row r="256">
      <c r="A256" s="52"/>
    </row>
    <row r="257">
      <c r="A257" s="52"/>
    </row>
    <row r="258">
      <c r="A258" s="52"/>
    </row>
    <row r="259">
      <c r="A259" s="52"/>
    </row>
    <row r="260">
      <c r="A260" s="52"/>
    </row>
    <row r="261">
      <c r="A261" s="52"/>
    </row>
    <row r="262">
      <c r="A262" s="52"/>
    </row>
    <row r="263">
      <c r="A263" s="52"/>
    </row>
    <row r="264">
      <c r="A264" s="52"/>
    </row>
    <row r="265">
      <c r="A265" s="52"/>
    </row>
    <row r="266">
      <c r="A266" s="52"/>
    </row>
    <row r="267">
      <c r="A267" s="52"/>
    </row>
    <row r="268">
      <c r="A268" s="52"/>
    </row>
    <row r="269">
      <c r="A269" s="52"/>
    </row>
    <row r="270">
      <c r="A270" s="52"/>
    </row>
    <row r="271">
      <c r="A271" s="52"/>
    </row>
    <row r="272">
      <c r="A272" s="52"/>
    </row>
    <row r="273">
      <c r="A273" s="52"/>
    </row>
    <row r="274">
      <c r="A274" s="52"/>
    </row>
    <row r="275">
      <c r="A275" s="52"/>
    </row>
    <row r="276">
      <c r="A276" s="52"/>
    </row>
    <row r="277">
      <c r="A277" s="52"/>
    </row>
    <row r="278">
      <c r="A278" s="52"/>
    </row>
    <row r="279">
      <c r="A279" s="52"/>
    </row>
    <row r="280">
      <c r="A280" s="52"/>
    </row>
    <row r="281">
      <c r="A281" s="52"/>
    </row>
    <row r="282">
      <c r="A282" s="52"/>
    </row>
    <row r="283">
      <c r="A283" s="52"/>
    </row>
    <row r="284">
      <c r="A284" s="52"/>
    </row>
    <row r="285">
      <c r="A285" s="52"/>
    </row>
    <row r="286">
      <c r="A286" s="52"/>
    </row>
    <row r="287">
      <c r="A287" s="52"/>
    </row>
    <row r="288">
      <c r="A288" s="52"/>
    </row>
    <row r="289">
      <c r="A289" s="52"/>
    </row>
    <row r="290">
      <c r="A290" s="52"/>
    </row>
    <row r="291">
      <c r="A291" s="52"/>
    </row>
    <row r="292">
      <c r="A292" s="52"/>
    </row>
    <row r="293">
      <c r="A293" s="52"/>
    </row>
    <row r="294">
      <c r="A294" s="52"/>
    </row>
    <row r="295">
      <c r="A295" s="52"/>
    </row>
    <row r="296">
      <c r="A296" s="52"/>
    </row>
    <row r="297">
      <c r="A297" s="52"/>
    </row>
    <row r="298">
      <c r="A298" s="52"/>
    </row>
    <row r="299">
      <c r="A299" s="52"/>
    </row>
    <row r="300">
      <c r="A300" s="52"/>
    </row>
    <row r="301">
      <c r="A301" s="52"/>
    </row>
    <row r="302">
      <c r="A302" s="52"/>
    </row>
    <row r="303">
      <c r="A303" s="52"/>
    </row>
    <row r="304">
      <c r="A304" s="52"/>
    </row>
    <row r="305">
      <c r="A305" s="52"/>
    </row>
    <row r="306">
      <c r="A306" s="52"/>
    </row>
    <row r="307">
      <c r="A307" s="52"/>
    </row>
    <row r="308">
      <c r="A308" s="52"/>
    </row>
    <row r="309">
      <c r="A309" s="52"/>
    </row>
    <row r="310">
      <c r="A310" s="52"/>
    </row>
    <row r="311">
      <c r="A311" s="52"/>
    </row>
    <row r="312">
      <c r="A312" s="52"/>
    </row>
    <row r="313">
      <c r="A313" s="52"/>
    </row>
    <row r="314">
      <c r="A314" s="52"/>
    </row>
    <row r="315">
      <c r="A315" s="52"/>
    </row>
    <row r="316">
      <c r="A316" s="52"/>
    </row>
    <row r="317">
      <c r="A317" s="52"/>
    </row>
    <row r="318">
      <c r="A318" s="52"/>
    </row>
    <row r="319">
      <c r="A319" s="52"/>
    </row>
    <row r="320">
      <c r="A320" s="52"/>
    </row>
    <row r="321">
      <c r="A321" s="52"/>
    </row>
    <row r="322">
      <c r="A322" s="52"/>
    </row>
    <row r="323">
      <c r="A323" s="52"/>
    </row>
    <row r="324">
      <c r="A324" s="52"/>
    </row>
    <row r="325">
      <c r="A325" s="52"/>
    </row>
    <row r="326">
      <c r="A326" s="52"/>
    </row>
    <row r="327">
      <c r="A327" s="52"/>
    </row>
    <row r="328">
      <c r="A328" s="52"/>
    </row>
    <row r="329">
      <c r="A329" s="52"/>
    </row>
    <row r="330">
      <c r="A330" s="52"/>
    </row>
    <row r="331">
      <c r="A331" s="52"/>
    </row>
    <row r="332">
      <c r="A332" s="52"/>
    </row>
    <row r="333">
      <c r="A333" s="52"/>
    </row>
    <row r="334">
      <c r="A334" s="52"/>
    </row>
    <row r="335">
      <c r="A335" s="52"/>
    </row>
    <row r="336">
      <c r="A336" s="52"/>
    </row>
    <row r="337">
      <c r="A337" s="52"/>
    </row>
    <row r="338">
      <c r="A338" s="52"/>
    </row>
    <row r="339">
      <c r="A339" s="52"/>
    </row>
    <row r="340">
      <c r="A340" s="52"/>
    </row>
    <row r="341">
      <c r="A341" s="52"/>
    </row>
    <row r="342">
      <c r="A342" s="52"/>
    </row>
    <row r="343">
      <c r="A343" s="52"/>
    </row>
    <row r="344">
      <c r="A344" s="52"/>
    </row>
    <row r="345">
      <c r="A345" s="52"/>
    </row>
    <row r="346">
      <c r="A346" s="52"/>
    </row>
    <row r="347">
      <c r="A347" s="52"/>
    </row>
    <row r="348">
      <c r="A348" s="52"/>
    </row>
    <row r="349">
      <c r="A349" s="52"/>
    </row>
    <row r="350">
      <c r="A350" s="52"/>
    </row>
    <row r="351">
      <c r="A351" s="52"/>
    </row>
    <row r="352">
      <c r="A352" s="52"/>
    </row>
    <row r="353">
      <c r="A353" s="52"/>
    </row>
    <row r="354">
      <c r="A354" s="52"/>
    </row>
    <row r="355">
      <c r="A355" s="52"/>
    </row>
    <row r="356">
      <c r="A356" s="52"/>
    </row>
    <row r="357">
      <c r="A357" s="52"/>
    </row>
    <row r="358">
      <c r="A358" s="52"/>
    </row>
    <row r="359">
      <c r="A359" s="52"/>
    </row>
    <row r="360">
      <c r="A360" s="52"/>
    </row>
    <row r="361">
      <c r="A361" s="52"/>
    </row>
    <row r="362">
      <c r="A362" s="52"/>
    </row>
    <row r="363">
      <c r="A363" s="52"/>
    </row>
    <row r="364">
      <c r="A364" s="52"/>
    </row>
    <row r="365">
      <c r="A365" s="52"/>
    </row>
    <row r="366">
      <c r="A366" s="52"/>
    </row>
    <row r="367">
      <c r="A367" s="52"/>
    </row>
    <row r="368">
      <c r="A368" s="52"/>
    </row>
    <row r="369">
      <c r="A369" s="52"/>
    </row>
    <row r="370">
      <c r="A370" s="52"/>
    </row>
    <row r="371">
      <c r="A371" s="52"/>
    </row>
    <row r="372">
      <c r="A372" s="52"/>
    </row>
    <row r="373">
      <c r="A373" s="52"/>
    </row>
    <row r="374">
      <c r="A374" s="52"/>
    </row>
    <row r="375">
      <c r="A375" s="52"/>
    </row>
    <row r="376">
      <c r="A376" s="52"/>
    </row>
    <row r="377">
      <c r="A377" s="52"/>
    </row>
    <row r="378">
      <c r="A378" s="52"/>
    </row>
    <row r="379">
      <c r="A379" s="52"/>
    </row>
    <row r="380">
      <c r="A380" s="52"/>
    </row>
    <row r="381">
      <c r="A381" s="52"/>
    </row>
    <row r="382">
      <c r="A382" s="52"/>
    </row>
    <row r="383">
      <c r="A383" s="52"/>
    </row>
    <row r="384">
      <c r="A384" s="52"/>
    </row>
    <row r="385">
      <c r="A385" s="52"/>
    </row>
    <row r="386">
      <c r="A386" s="52"/>
    </row>
    <row r="387">
      <c r="A387" s="52"/>
    </row>
    <row r="388">
      <c r="A388" s="52"/>
    </row>
    <row r="389">
      <c r="A389" s="52"/>
    </row>
    <row r="390">
      <c r="A390" s="52"/>
    </row>
    <row r="391">
      <c r="A391" s="52"/>
    </row>
    <row r="392">
      <c r="A392" s="52"/>
    </row>
    <row r="393">
      <c r="A393" s="52"/>
    </row>
    <row r="394">
      <c r="A394" s="52"/>
    </row>
    <row r="395">
      <c r="A395" s="52"/>
    </row>
    <row r="396">
      <c r="A396" s="52"/>
    </row>
    <row r="397">
      <c r="A397" s="52"/>
    </row>
    <row r="398">
      <c r="A398" s="52"/>
    </row>
    <row r="399">
      <c r="A399" s="52"/>
    </row>
    <row r="400">
      <c r="A400" s="52"/>
    </row>
    <row r="401">
      <c r="A401" s="52"/>
    </row>
    <row r="402">
      <c r="A402" s="52"/>
    </row>
    <row r="403">
      <c r="A403" s="52"/>
    </row>
    <row r="404">
      <c r="A404" s="52"/>
    </row>
    <row r="405">
      <c r="A405" s="52"/>
    </row>
    <row r="406">
      <c r="A406" s="52"/>
    </row>
    <row r="407">
      <c r="A407" s="52"/>
    </row>
    <row r="408">
      <c r="A408" s="52"/>
    </row>
    <row r="409">
      <c r="A409" s="52"/>
    </row>
    <row r="410">
      <c r="A410" s="52"/>
    </row>
    <row r="411">
      <c r="A411" s="52"/>
    </row>
    <row r="412">
      <c r="A412" s="52"/>
    </row>
    <row r="413">
      <c r="A413" s="52"/>
    </row>
    <row r="414">
      <c r="A414" s="52"/>
    </row>
    <row r="415">
      <c r="A415" s="52"/>
    </row>
    <row r="416">
      <c r="A416" s="52"/>
    </row>
    <row r="417">
      <c r="A417" s="52"/>
    </row>
    <row r="418">
      <c r="A418" s="52"/>
    </row>
    <row r="419">
      <c r="A419" s="52"/>
    </row>
    <row r="420">
      <c r="A420" s="52"/>
    </row>
    <row r="421">
      <c r="A421" s="52"/>
    </row>
    <row r="422">
      <c r="A422" s="52"/>
    </row>
    <row r="423">
      <c r="A423" s="52"/>
    </row>
    <row r="424">
      <c r="A424" s="52"/>
    </row>
    <row r="425">
      <c r="A425" s="52"/>
    </row>
    <row r="426">
      <c r="A426" s="52"/>
    </row>
    <row r="427">
      <c r="A427" s="52"/>
    </row>
    <row r="428">
      <c r="A428" s="52"/>
    </row>
    <row r="429">
      <c r="A429" s="52"/>
    </row>
    <row r="430">
      <c r="A430" s="52"/>
    </row>
    <row r="431">
      <c r="A431" s="52"/>
    </row>
    <row r="432">
      <c r="A432" s="52"/>
    </row>
    <row r="433">
      <c r="A433" s="52"/>
    </row>
    <row r="434">
      <c r="A434" s="52"/>
    </row>
    <row r="435">
      <c r="A435" s="52"/>
    </row>
    <row r="436">
      <c r="A436" s="52"/>
    </row>
    <row r="437">
      <c r="A437" s="52"/>
    </row>
    <row r="438">
      <c r="A438" s="52"/>
    </row>
    <row r="439">
      <c r="A439" s="52"/>
    </row>
    <row r="440">
      <c r="A440" s="52"/>
    </row>
    <row r="441">
      <c r="A441" s="52"/>
    </row>
    <row r="442">
      <c r="A442" s="52"/>
    </row>
    <row r="443">
      <c r="A443" s="52"/>
    </row>
    <row r="444">
      <c r="A444" s="52"/>
    </row>
    <row r="445">
      <c r="A445" s="52"/>
    </row>
    <row r="446">
      <c r="A446" s="52"/>
    </row>
    <row r="447">
      <c r="A447" s="52"/>
    </row>
    <row r="448">
      <c r="A448" s="52"/>
    </row>
    <row r="449">
      <c r="A449" s="52"/>
    </row>
    <row r="450">
      <c r="A450" s="52"/>
    </row>
    <row r="451">
      <c r="A451" s="52"/>
    </row>
    <row r="452">
      <c r="A452" s="52"/>
    </row>
    <row r="453">
      <c r="A453" s="52"/>
    </row>
    <row r="454">
      <c r="A454" s="52"/>
    </row>
    <row r="455">
      <c r="A455" s="52"/>
    </row>
    <row r="456">
      <c r="A456" s="52"/>
    </row>
    <row r="457">
      <c r="A457" s="52"/>
    </row>
    <row r="458">
      <c r="A458" s="52"/>
    </row>
    <row r="459">
      <c r="A459" s="52"/>
    </row>
    <row r="460">
      <c r="A460" s="52"/>
    </row>
    <row r="461">
      <c r="A461" s="52"/>
    </row>
    <row r="462">
      <c r="A462" s="52"/>
    </row>
    <row r="463">
      <c r="A463" s="52"/>
    </row>
    <row r="464">
      <c r="A464" s="52"/>
    </row>
    <row r="465">
      <c r="A465" s="52"/>
    </row>
    <row r="466">
      <c r="A466" s="52"/>
    </row>
    <row r="467">
      <c r="A467" s="52"/>
    </row>
    <row r="468">
      <c r="A468" s="52"/>
    </row>
    <row r="469">
      <c r="A469" s="52"/>
    </row>
    <row r="470">
      <c r="A470" s="52"/>
    </row>
    <row r="471">
      <c r="A471" s="52"/>
    </row>
    <row r="472">
      <c r="A472" s="52"/>
    </row>
    <row r="473">
      <c r="A473" s="52"/>
    </row>
    <row r="474">
      <c r="A474" s="52"/>
    </row>
    <row r="475">
      <c r="A475" s="52"/>
    </row>
    <row r="476">
      <c r="A476" s="52"/>
    </row>
    <row r="477">
      <c r="A477" s="52"/>
    </row>
    <row r="478">
      <c r="A478" s="52"/>
    </row>
    <row r="479">
      <c r="A479" s="52"/>
    </row>
    <row r="480">
      <c r="A480" s="52"/>
    </row>
    <row r="481">
      <c r="A481" s="52"/>
    </row>
    <row r="482">
      <c r="A482" s="52"/>
    </row>
    <row r="483">
      <c r="A483" s="52"/>
    </row>
    <row r="484">
      <c r="A484" s="52"/>
    </row>
    <row r="485">
      <c r="A485" s="52"/>
    </row>
    <row r="486">
      <c r="A486" s="52"/>
    </row>
    <row r="487">
      <c r="A487" s="52"/>
    </row>
    <row r="488">
      <c r="A488" s="52"/>
    </row>
    <row r="489">
      <c r="A489" s="52"/>
    </row>
    <row r="490">
      <c r="A490" s="52"/>
    </row>
    <row r="491">
      <c r="A491" s="52"/>
    </row>
    <row r="492">
      <c r="A492" s="52"/>
    </row>
    <row r="493">
      <c r="A493" s="52"/>
    </row>
    <row r="494">
      <c r="A494" s="52"/>
    </row>
    <row r="495">
      <c r="A495" s="52"/>
    </row>
    <row r="496">
      <c r="A496" s="52"/>
    </row>
    <row r="497">
      <c r="A497" s="52"/>
    </row>
    <row r="498">
      <c r="A498" s="52"/>
    </row>
    <row r="499">
      <c r="A499" s="52"/>
    </row>
    <row r="500">
      <c r="A500" s="52"/>
    </row>
    <row r="501">
      <c r="A501" s="52"/>
    </row>
    <row r="502">
      <c r="A502" s="52"/>
    </row>
    <row r="503">
      <c r="A503" s="52"/>
    </row>
    <row r="504">
      <c r="A504" s="52"/>
    </row>
    <row r="505">
      <c r="A505" s="52"/>
    </row>
    <row r="506">
      <c r="A506" s="52"/>
    </row>
    <row r="507">
      <c r="A507" s="52"/>
    </row>
    <row r="508">
      <c r="A508" s="52"/>
    </row>
    <row r="509">
      <c r="A509" s="52"/>
    </row>
    <row r="510">
      <c r="A510" s="52"/>
    </row>
    <row r="511">
      <c r="A511" s="52"/>
    </row>
    <row r="512">
      <c r="A512" s="52"/>
    </row>
    <row r="513">
      <c r="A513" s="52"/>
    </row>
    <row r="514">
      <c r="A514" s="52"/>
    </row>
    <row r="515">
      <c r="A515" s="52"/>
    </row>
    <row r="516">
      <c r="A516" s="52"/>
    </row>
    <row r="517">
      <c r="A517" s="52"/>
    </row>
    <row r="518">
      <c r="A518" s="52"/>
    </row>
    <row r="519">
      <c r="A519" s="52"/>
    </row>
    <row r="520">
      <c r="A520" s="52"/>
    </row>
    <row r="521">
      <c r="A521" s="52"/>
    </row>
    <row r="522">
      <c r="A522" s="52"/>
    </row>
    <row r="523">
      <c r="A523" s="52"/>
    </row>
    <row r="524">
      <c r="A524" s="52"/>
    </row>
    <row r="525">
      <c r="A525" s="52"/>
    </row>
    <row r="526">
      <c r="A526" s="52"/>
    </row>
    <row r="527">
      <c r="A527" s="52"/>
    </row>
    <row r="528">
      <c r="A528" s="52"/>
    </row>
    <row r="529">
      <c r="A529" s="52"/>
    </row>
    <row r="530">
      <c r="A530" s="52"/>
    </row>
    <row r="531">
      <c r="A531" s="52"/>
    </row>
    <row r="532">
      <c r="A532" s="52"/>
    </row>
    <row r="533">
      <c r="A533" s="52"/>
    </row>
    <row r="534">
      <c r="A534" s="52"/>
    </row>
    <row r="535">
      <c r="A535" s="52"/>
    </row>
    <row r="536">
      <c r="A536" s="52"/>
    </row>
    <row r="537">
      <c r="A537" s="52"/>
    </row>
    <row r="538">
      <c r="A538" s="52"/>
    </row>
    <row r="539">
      <c r="A539" s="52"/>
    </row>
    <row r="540">
      <c r="A540" s="52"/>
    </row>
    <row r="541">
      <c r="A541" s="52"/>
    </row>
    <row r="542">
      <c r="A542" s="52"/>
    </row>
    <row r="543">
      <c r="A543" s="52"/>
    </row>
    <row r="544">
      <c r="A544" s="52"/>
    </row>
    <row r="545">
      <c r="A545" s="52"/>
    </row>
    <row r="546">
      <c r="A546" s="52"/>
    </row>
    <row r="547">
      <c r="A547" s="52"/>
    </row>
    <row r="548">
      <c r="A548" s="52"/>
    </row>
    <row r="549">
      <c r="A549" s="52"/>
    </row>
    <row r="550">
      <c r="A550" s="52"/>
    </row>
    <row r="551">
      <c r="A551" s="52"/>
    </row>
    <row r="552">
      <c r="A552" s="52"/>
    </row>
    <row r="553">
      <c r="A553" s="52"/>
    </row>
    <row r="554">
      <c r="A554" s="52"/>
    </row>
    <row r="555">
      <c r="A555" s="52"/>
    </row>
    <row r="556">
      <c r="A556" s="52"/>
    </row>
    <row r="557">
      <c r="A557" s="52"/>
    </row>
    <row r="558">
      <c r="A558" s="52"/>
    </row>
    <row r="559">
      <c r="A559" s="52"/>
    </row>
    <row r="560">
      <c r="A560" s="52"/>
    </row>
    <row r="561">
      <c r="A561" s="52"/>
    </row>
    <row r="562">
      <c r="A562" s="52"/>
    </row>
    <row r="563">
      <c r="A563" s="52"/>
    </row>
    <row r="564">
      <c r="A564" s="52"/>
    </row>
    <row r="565">
      <c r="A565" s="52"/>
    </row>
    <row r="566">
      <c r="A566" s="52"/>
    </row>
    <row r="567">
      <c r="A567" s="52"/>
    </row>
    <row r="568">
      <c r="A568" s="52"/>
    </row>
    <row r="569">
      <c r="A569" s="52"/>
    </row>
    <row r="570">
      <c r="A570" s="52"/>
    </row>
    <row r="571">
      <c r="A571" s="52"/>
    </row>
    <row r="572">
      <c r="A572" s="52"/>
    </row>
    <row r="573">
      <c r="A573" s="52"/>
    </row>
    <row r="574">
      <c r="A574" s="52"/>
    </row>
    <row r="575">
      <c r="A575" s="52"/>
    </row>
    <row r="576">
      <c r="A576" s="52"/>
    </row>
    <row r="577">
      <c r="A577" s="52"/>
    </row>
    <row r="578">
      <c r="A578" s="52"/>
    </row>
    <row r="579">
      <c r="A579" s="52"/>
    </row>
    <row r="580">
      <c r="A580" s="52"/>
    </row>
    <row r="581">
      <c r="A581" s="52"/>
    </row>
    <row r="582">
      <c r="A582" s="52"/>
    </row>
    <row r="583">
      <c r="A583" s="52"/>
    </row>
    <row r="584">
      <c r="A584" s="52"/>
    </row>
    <row r="585">
      <c r="A585" s="52"/>
    </row>
    <row r="586">
      <c r="A586" s="52"/>
    </row>
    <row r="587">
      <c r="A587" s="52"/>
    </row>
    <row r="588">
      <c r="A588" s="52"/>
    </row>
    <row r="589">
      <c r="A589" s="52"/>
    </row>
    <row r="590">
      <c r="A590" s="52"/>
    </row>
    <row r="591">
      <c r="A591" s="52"/>
    </row>
    <row r="592">
      <c r="A592" s="52"/>
    </row>
    <row r="593">
      <c r="A593" s="52"/>
    </row>
    <row r="594">
      <c r="A594" s="52"/>
    </row>
    <row r="595">
      <c r="A595" s="52"/>
    </row>
    <row r="596">
      <c r="A596" s="52"/>
    </row>
    <row r="597">
      <c r="A597" s="52"/>
    </row>
    <row r="598">
      <c r="A598" s="52"/>
    </row>
    <row r="599">
      <c r="A599" s="52"/>
    </row>
    <row r="600">
      <c r="A600" s="52"/>
    </row>
    <row r="601">
      <c r="A601" s="52"/>
    </row>
    <row r="602">
      <c r="A602" s="52"/>
    </row>
    <row r="603">
      <c r="A603" s="52"/>
    </row>
    <row r="604">
      <c r="A604" s="52"/>
    </row>
    <row r="605">
      <c r="A605" s="52"/>
    </row>
    <row r="606">
      <c r="A606" s="52"/>
    </row>
    <row r="607">
      <c r="A607" s="52"/>
    </row>
    <row r="608">
      <c r="A608" s="52"/>
    </row>
    <row r="609">
      <c r="A609" s="52"/>
    </row>
    <row r="610">
      <c r="A610" s="52"/>
    </row>
    <row r="611">
      <c r="A611" s="52"/>
    </row>
    <row r="612">
      <c r="A612" s="52"/>
    </row>
    <row r="613">
      <c r="A613" s="52"/>
    </row>
    <row r="614">
      <c r="A614" s="52"/>
    </row>
    <row r="615">
      <c r="A615" s="52"/>
    </row>
    <row r="616">
      <c r="A616" s="52"/>
    </row>
    <row r="617">
      <c r="A617" s="52"/>
    </row>
    <row r="618">
      <c r="A618" s="52"/>
    </row>
    <row r="619">
      <c r="A619" s="52"/>
    </row>
    <row r="620">
      <c r="A620" s="52"/>
    </row>
    <row r="621">
      <c r="A621" s="52"/>
    </row>
    <row r="622">
      <c r="A622" s="52"/>
    </row>
    <row r="623">
      <c r="A623" s="52"/>
    </row>
    <row r="624">
      <c r="A624" s="52"/>
    </row>
    <row r="625">
      <c r="A625" s="52"/>
    </row>
    <row r="626">
      <c r="A626" s="52"/>
    </row>
    <row r="627">
      <c r="A627" s="52"/>
    </row>
    <row r="628">
      <c r="A628" s="52"/>
    </row>
    <row r="629">
      <c r="A629" s="52"/>
    </row>
    <row r="630">
      <c r="A630" s="52"/>
    </row>
    <row r="631">
      <c r="A631" s="52"/>
    </row>
    <row r="632">
      <c r="A632" s="52"/>
    </row>
    <row r="633">
      <c r="A633" s="52"/>
    </row>
    <row r="634">
      <c r="A634" s="52"/>
    </row>
    <row r="635">
      <c r="A635" s="52"/>
    </row>
    <row r="636">
      <c r="A636" s="52"/>
    </row>
    <row r="637">
      <c r="A637" s="52"/>
    </row>
    <row r="638">
      <c r="A638" s="52"/>
    </row>
    <row r="639">
      <c r="A639" s="52"/>
    </row>
    <row r="640">
      <c r="A640" s="52"/>
    </row>
    <row r="641">
      <c r="A641" s="52"/>
    </row>
    <row r="642">
      <c r="A642" s="52"/>
    </row>
    <row r="643">
      <c r="A643" s="52"/>
    </row>
    <row r="644">
      <c r="A644" s="52"/>
    </row>
    <row r="645">
      <c r="A645" s="52"/>
    </row>
    <row r="646">
      <c r="A646" s="52"/>
    </row>
    <row r="647">
      <c r="A647" s="52"/>
    </row>
    <row r="648">
      <c r="A648" s="52"/>
    </row>
    <row r="649">
      <c r="A649" s="52"/>
    </row>
    <row r="650">
      <c r="A650" s="52"/>
    </row>
    <row r="651">
      <c r="A651" s="52"/>
    </row>
    <row r="652">
      <c r="A652" s="52"/>
    </row>
    <row r="653">
      <c r="A653" s="52"/>
    </row>
    <row r="654">
      <c r="A654" s="52"/>
    </row>
    <row r="655">
      <c r="A655" s="52"/>
    </row>
    <row r="656">
      <c r="A656" s="52"/>
    </row>
    <row r="657">
      <c r="A657" s="52"/>
    </row>
    <row r="658">
      <c r="A658" s="52"/>
    </row>
    <row r="659">
      <c r="A659" s="52"/>
    </row>
    <row r="660">
      <c r="A660" s="52"/>
    </row>
    <row r="661">
      <c r="A661" s="52"/>
    </row>
    <row r="662">
      <c r="A662" s="52"/>
    </row>
    <row r="663">
      <c r="A663" s="52"/>
    </row>
    <row r="664">
      <c r="A664" s="52"/>
    </row>
    <row r="665">
      <c r="A665" s="52"/>
    </row>
    <row r="666">
      <c r="A666" s="52"/>
    </row>
    <row r="667">
      <c r="A667" s="52"/>
    </row>
    <row r="668">
      <c r="A668" s="52"/>
    </row>
    <row r="669">
      <c r="A669" s="52"/>
    </row>
    <row r="670">
      <c r="A670" s="52"/>
    </row>
    <row r="671">
      <c r="A671" s="52"/>
    </row>
    <row r="672">
      <c r="A672" s="52"/>
    </row>
    <row r="673">
      <c r="A673" s="52"/>
    </row>
    <row r="674">
      <c r="A674" s="52"/>
    </row>
    <row r="675">
      <c r="A675" s="52"/>
    </row>
    <row r="676">
      <c r="A676" s="52"/>
    </row>
    <row r="677">
      <c r="A677" s="52"/>
    </row>
    <row r="678">
      <c r="A678" s="52"/>
    </row>
    <row r="679">
      <c r="A679" s="52"/>
    </row>
    <row r="680">
      <c r="A680" s="52"/>
    </row>
    <row r="681">
      <c r="A681" s="52"/>
    </row>
    <row r="682">
      <c r="A682" s="52"/>
    </row>
    <row r="683">
      <c r="A683" s="52"/>
    </row>
    <row r="684">
      <c r="A684" s="52"/>
    </row>
    <row r="685">
      <c r="A685" s="52"/>
    </row>
    <row r="686">
      <c r="A686" s="52"/>
    </row>
    <row r="687">
      <c r="A687" s="52"/>
    </row>
    <row r="688">
      <c r="A688" s="52"/>
    </row>
    <row r="689">
      <c r="A689" s="52"/>
    </row>
    <row r="690">
      <c r="A690" s="52"/>
    </row>
    <row r="691">
      <c r="A691" s="52"/>
    </row>
    <row r="692">
      <c r="A692" s="52"/>
    </row>
    <row r="693">
      <c r="A693" s="52"/>
    </row>
    <row r="694">
      <c r="A694" s="52"/>
    </row>
    <row r="695">
      <c r="A695" s="52"/>
    </row>
    <row r="696">
      <c r="A696" s="52"/>
    </row>
    <row r="697">
      <c r="A697" s="52"/>
    </row>
    <row r="698">
      <c r="A698" s="52"/>
    </row>
    <row r="699">
      <c r="A699" s="52"/>
    </row>
    <row r="700">
      <c r="A700" s="52"/>
    </row>
    <row r="701">
      <c r="A701" s="52"/>
    </row>
    <row r="702">
      <c r="A702" s="52"/>
    </row>
    <row r="703">
      <c r="A703" s="52"/>
    </row>
    <row r="704">
      <c r="A704" s="52"/>
    </row>
    <row r="705">
      <c r="A705" s="52"/>
    </row>
    <row r="706">
      <c r="A706" s="52"/>
    </row>
    <row r="707">
      <c r="A707" s="52"/>
    </row>
    <row r="708">
      <c r="A708" s="52"/>
    </row>
    <row r="709">
      <c r="A709" s="52"/>
    </row>
    <row r="710">
      <c r="A710" s="52"/>
    </row>
    <row r="711">
      <c r="A711" s="52"/>
    </row>
    <row r="712">
      <c r="A712" s="52"/>
    </row>
    <row r="713">
      <c r="A713" s="52"/>
    </row>
    <row r="714">
      <c r="A714" s="52"/>
    </row>
    <row r="715">
      <c r="A715" s="52"/>
    </row>
    <row r="716">
      <c r="A716" s="52"/>
    </row>
    <row r="717">
      <c r="A717" s="52"/>
    </row>
    <row r="718">
      <c r="A718" s="52"/>
    </row>
    <row r="719">
      <c r="A719" s="52"/>
    </row>
    <row r="720">
      <c r="A720" s="52"/>
    </row>
    <row r="721">
      <c r="A721" s="52"/>
    </row>
    <row r="722">
      <c r="A722" s="52"/>
    </row>
    <row r="723">
      <c r="A723" s="52"/>
    </row>
    <row r="724">
      <c r="A724" s="52"/>
    </row>
    <row r="725">
      <c r="A725" s="52"/>
    </row>
    <row r="726">
      <c r="A726" s="52"/>
    </row>
    <row r="727">
      <c r="A727" s="52"/>
    </row>
    <row r="728">
      <c r="A728" s="52"/>
    </row>
    <row r="729">
      <c r="A729" s="52"/>
    </row>
    <row r="730">
      <c r="A730" s="52"/>
    </row>
    <row r="731">
      <c r="A731" s="52"/>
    </row>
    <row r="732">
      <c r="A732" s="52"/>
    </row>
    <row r="733">
      <c r="A733" s="52"/>
    </row>
    <row r="734">
      <c r="A734" s="52"/>
    </row>
    <row r="735">
      <c r="A735" s="52"/>
    </row>
    <row r="736">
      <c r="A736" s="52"/>
    </row>
    <row r="737">
      <c r="A737" s="52"/>
    </row>
    <row r="738">
      <c r="A738" s="52"/>
    </row>
    <row r="739">
      <c r="A739" s="52"/>
    </row>
    <row r="740">
      <c r="A740" s="52"/>
    </row>
    <row r="741">
      <c r="A741" s="52"/>
    </row>
    <row r="742">
      <c r="A742" s="52"/>
    </row>
    <row r="743">
      <c r="A743" s="52"/>
    </row>
    <row r="744">
      <c r="A744" s="52"/>
    </row>
    <row r="745">
      <c r="A745" s="52"/>
    </row>
    <row r="746">
      <c r="A746" s="52"/>
    </row>
    <row r="747">
      <c r="A747" s="52"/>
    </row>
    <row r="748">
      <c r="A748" s="52"/>
    </row>
    <row r="749">
      <c r="A749" s="52"/>
    </row>
    <row r="750">
      <c r="A750" s="52"/>
    </row>
    <row r="751">
      <c r="A751" s="52"/>
    </row>
    <row r="752">
      <c r="A752" s="52"/>
    </row>
    <row r="753">
      <c r="A753" s="52"/>
    </row>
    <row r="754">
      <c r="A754" s="52"/>
    </row>
    <row r="755">
      <c r="A755" s="52"/>
    </row>
    <row r="756">
      <c r="A756" s="52"/>
    </row>
    <row r="757">
      <c r="A757" s="52"/>
    </row>
    <row r="758">
      <c r="A758" s="52"/>
    </row>
    <row r="759">
      <c r="A759" s="52"/>
    </row>
    <row r="760">
      <c r="A760" s="52"/>
    </row>
    <row r="761">
      <c r="A761" s="52"/>
    </row>
    <row r="762">
      <c r="A762" s="52"/>
    </row>
    <row r="763">
      <c r="A763" s="52"/>
    </row>
    <row r="764">
      <c r="A764" s="52"/>
    </row>
    <row r="765">
      <c r="A765" s="52"/>
    </row>
    <row r="766">
      <c r="A766" s="52"/>
    </row>
    <row r="767">
      <c r="A767" s="52"/>
    </row>
    <row r="768">
      <c r="A768" s="52"/>
    </row>
    <row r="769">
      <c r="A769" s="52"/>
    </row>
    <row r="770">
      <c r="A770" s="52"/>
    </row>
    <row r="771">
      <c r="A771" s="52"/>
    </row>
    <row r="772">
      <c r="A772" s="52"/>
    </row>
    <row r="773">
      <c r="A773" s="52"/>
    </row>
    <row r="774">
      <c r="A774" s="52"/>
    </row>
    <row r="775">
      <c r="A775" s="52"/>
    </row>
    <row r="776">
      <c r="A776" s="52"/>
    </row>
    <row r="777">
      <c r="A777" s="52"/>
    </row>
    <row r="778">
      <c r="A778" s="52"/>
    </row>
    <row r="779">
      <c r="A779" s="52"/>
    </row>
    <row r="780">
      <c r="A780" s="52"/>
    </row>
    <row r="781">
      <c r="A781" s="52"/>
    </row>
    <row r="782">
      <c r="A782" s="52"/>
    </row>
    <row r="783">
      <c r="A783" s="52"/>
    </row>
    <row r="784">
      <c r="A784" s="52"/>
    </row>
    <row r="785">
      <c r="A785" s="52"/>
    </row>
    <row r="786">
      <c r="A786" s="52"/>
    </row>
    <row r="787">
      <c r="A787" s="52"/>
    </row>
    <row r="788">
      <c r="A788" s="52"/>
    </row>
    <row r="789">
      <c r="A789" s="52"/>
    </row>
    <row r="790">
      <c r="A790" s="52"/>
    </row>
    <row r="791">
      <c r="A791" s="52"/>
    </row>
    <row r="792">
      <c r="A792" s="52"/>
    </row>
    <row r="793">
      <c r="A793" s="52"/>
    </row>
    <row r="794">
      <c r="A794" s="52"/>
    </row>
    <row r="795">
      <c r="A795" s="52"/>
    </row>
    <row r="796">
      <c r="A796" s="52"/>
    </row>
    <row r="797">
      <c r="A797" s="52"/>
    </row>
    <row r="798">
      <c r="A798" s="52"/>
    </row>
    <row r="799">
      <c r="A799" s="52"/>
    </row>
    <row r="800">
      <c r="A800" s="52"/>
    </row>
    <row r="801">
      <c r="A801" s="52"/>
    </row>
    <row r="802">
      <c r="A802" s="52"/>
    </row>
    <row r="803">
      <c r="A803" s="52"/>
    </row>
    <row r="804">
      <c r="A804" s="52"/>
    </row>
    <row r="805">
      <c r="A805" s="52"/>
    </row>
    <row r="806">
      <c r="A806" s="52"/>
    </row>
    <row r="807">
      <c r="A807" s="52"/>
    </row>
    <row r="808">
      <c r="A808" s="52"/>
    </row>
    <row r="809">
      <c r="A809" s="52"/>
    </row>
    <row r="810">
      <c r="A810" s="52"/>
    </row>
    <row r="811">
      <c r="A811" s="52"/>
    </row>
    <row r="812">
      <c r="A812" s="52"/>
    </row>
    <row r="813">
      <c r="A813" s="52"/>
    </row>
    <row r="814">
      <c r="A814" s="52"/>
    </row>
    <row r="815">
      <c r="A815" s="52"/>
    </row>
    <row r="816">
      <c r="A816" s="52"/>
    </row>
    <row r="817">
      <c r="A817" s="52"/>
    </row>
    <row r="818">
      <c r="A818" s="52"/>
    </row>
    <row r="819">
      <c r="A819" s="52"/>
    </row>
    <row r="820">
      <c r="A820" s="52"/>
    </row>
    <row r="821">
      <c r="A821" s="52"/>
    </row>
    <row r="822">
      <c r="A822" s="52"/>
    </row>
    <row r="823">
      <c r="A823" s="52"/>
    </row>
    <row r="824">
      <c r="A824" s="52"/>
    </row>
    <row r="825">
      <c r="A825" s="52"/>
    </row>
    <row r="826">
      <c r="A826" s="52"/>
    </row>
    <row r="827">
      <c r="A827" s="52"/>
    </row>
    <row r="828">
      <c r="A828" s="52"/>
    </row>
    <row r="829">
      <c r="A829" s="52"/>
    </row>
    <row r="830">
      <c r="A830" s="52"/>
    </row>
    <row r="831">
      <c r="A831" s="52"/>
    </row>
    <row r="832">
      <c r="A832" s="52"/>
    </row>
    <row r="833">
      <c r="A833" s="52"/>
    </row>
    <row r="834">
      <c r="A834" s="52"/>
    </row>
    <row r="835">
      <c r="A835" s="52"/>
    </row>
    <row r="836">
      <c r="A836" s="52"/>
    </row>
    <row r="837">
      <c r="A837" s="52"/>
    </row>
    <row r="838">
      <c r="A838" s="52"/>
    </row>
    <row r="839">
      <c r="A839" s="52"/>
    </row>
    <row r="840">
      <c r="A840" s="52"/>
    </row>
    <row r="841">
      <c r="A841" s="52"/>
    </row>
    <row r="842">
      <c r="A842" s="52"/>
    </row>
    <row r="843">
      <c r="A843" s="52"/>
    </row>
    <row r="844">
      <c r="A844" s="52"/>
    </row>
    <row r="845">
      <c r="A845" s="52"/>
    </row>
    <row r="846">
      <c r="A846" s="52"/>
    </row>
    <row r="847">
      <c r="A847" s="52"/>
    </row>
    <row r="848">
      <c r="A848" s="52"/>
    </row>
    <row r="849">
      <c r="A849" s="52"/>
    </row>
    <row r="850">
      <c r="A850" s="52"/>
    </row>
    <row r="851">
      <c r="A851" s="52"/>
    </row>
    <row r="852">
      <c r="A852" s="52"/>
    </row>
    <row r="853">
      <c r="A853" s="52"/>
    </row>
    <row r="854">
      <c r="A854" s="52"/>
    </row>
    <row r="855">
      <c r="A855" s="52"/>
    </row>
    <row r="856">
      <c r="A856" s="52"/>
    </row>
    <row r="857">
      <c r="A857" s="52"/>
    </row>
    <row r="858">
      <c r="A858" s="52"/>
    </row>
    <row r="859">
      <c r="A859" s="52"/>
    </row>
    <row r="860">
      <c r="A860" s="52"/>
    </row>
    <row r="861">
      <c r="A861" s="52"/>
    </row>
    <row r="862">
      <c r="A862" s="52"/>
    </row>
    <row r="863">
      <c r="A863" s="52"/>
    </row>
    <row r="864">
      <c r="A864" s="52"/>
    </row>
    <row r="865">
      <c r="A865" s="52"/>
    </row>
    <row r="866">
      <c r="A866" s="52"/>
    </row>
    <row r="867">
      <c r="A867" s="52"/>
    </row>
    <row r="868">
      <c r="A868" s="52"/>
    </row>
    <row r="869">
      <c r="A869" s="52"/>
    </row>
    <row r="870">
      <c r="A870" s="52"/>
    </row>
    <row r="871">
      <c r="A871" s="52"/>
    </row>
    <row r="872">
      <c r="A872" s="52"/>
    </row>
    <row r="873">
      <c r="A873" s="52"/>
    </row>
    <row r="874">
      <c r="A874" s="52"/>
    </row>
    <row r="875">
      <c r="A875" s="52"/>
    </row>
    <row r="876">
      <c r="A876" s="52"/>
    </row>
    <row r="877">
      <c r="A877" s="52"/>
    </row>
    <row r="878">
      <c r="A878" s="52"/>
    </row>
    <row r="879">
      <c r="A879" s="52"/>
    </row>
    <row r="880">
      <c r="A880" s="52"/>
    </row>
    <row r="881">
      <c r="A881" s="52"/>
    </row>
    <row r="882">
      <c r="A882" s="52"/>
    </row>
    <row r="883">
      <c r="A883" s="52"/>
    </row>
    <row r="884">
      <c r="A884" s="52"/>
    </row>
    <row r="885">
      <c r="A885" s="52"/>
    </row>
    <row r="886">
      <c r="A886" s="52"/>
    </row>
    <row r="887">
      <c r="A887" s="52"/>
    </row>
    <row r="888">
      <c r="A888" s="52"/>
    </row>
    <row r="889">
      <c r="A889" s="52"/>
    </row>
    <row r="890">
      <c r="A890" s="52"/>
    </row>
    <row r="891">
      <c r="A891" s="52"/>
    </row>
    <row r="892">
      <c r="A892" s="52"/>
    </row>
    <row r="893">
      <c r="A893" s="52"/>
    </row>
    <row r="894">
      <c r="A894" s="52"/>
    </row>
    <row r="895">
      <c r="A895" s="52"/>
    </row>
    <row r="896">
      <c r="A896" s="52"/>
    </row>
    <row r="897">
      <c r="A897" s="52"/>
    </row>
    <row r="898">
      <c r="A898" s="52"/>
    </row>
    <row r="899">
      <c r="A899" s="52"/>
    </row>
    <row r="900">
      <c r="A900" s="52"/>
    </row>
    <row r="901">
      <c r="A901" s="52"/>
    </row>
    <row r="902">
      <c r="A902" s="52"/>
    </row>
    <row r="903">
      <c r="A903" s="52"/>
    </row>
    <row r="904">
      <c r="A904" s="52"/>
    </row>
    <row r="905">
      <c r="A905" s="52"/>
    </row>
    <row r="906">
      <c r="A906" s="52"/>
    </row>
    <row r="907">
      <c r="A907" s="52"/>
    </row>
    <row r="908">
      <c r="A908" s="52"/>
    </row>
    <row r="909">
      <c r="A909" s="52"/>
    </row>
    <row r="910">
      <c r="A910" s="52"/>
    </row>
    <row r="911">
      <c r="A911" s="52"/>
    </row>
    <row r="912">
      <c r="A912" s="52"/>
    </row>
    <row r="913">
      <c r="A913" s="52"/>
    </row>
    <row r="914">
      <c r="A914" s="52"/>
    </row>
    <row r="915">
      <c r="A915" s="52"/>
    </row>
    <row r="916">
      <c r="A916" s="52"/>
    </row>
    <row r="917">
      <c r="A917" s="52"/>
    </row>
    <row r="918">
      <c r="A918" s="52"/>
    </row>
    <row r="919">
      <c r="A919" s="52"/>
    </row>
    <row r="920">
      <c r="A920" s="52"/>
    </row>
    <row r="921">
      <c r="A921" s="52"/>
    </row>
    <row r="922">
      <c r="A922" s="52"/>
    </row>
    <row r="923">
      <c r="A923" s="52"/>
    </row>
    <row r="924">
      <c r="A924" s="52"/>
    </row>
    <row r="925">
      <c r="A925" s="52"/>
    </row>
    <row r="926">
      <c r="A926" s="52"/>
    </row>
    <row r="927">
      <c r="A927" s="52"/>
    </row>
    <row r="928">
      <c r="A928" s="52"/>
    </row>
    <row r="929">
      <c r="A929" s="52"/>
    </row>
    <row r="930">
      <c r="A930" s="52"/>
    </row>
    <row r="931">
      <c r="A931" s="52"/>
    </row>
    <row r="932">
      <c r="A932" s="52"/>
    </row>
    <row r="933">
      <c r="A933" s="52"/>
    </row>
    <row r="934">
      <c r="A934" s="52"/>
    </row>
    <row r="935">
      <c r="A935" s="52"/>
    </row>
    <row r="936">
      <c r="A936" s="52"/>
    </row>
    <row r="937">
      <c r="A937" s="52"/>
    </row>
    <row r="938">
      <c r="A938" s="52"/>
    </row>
    <row r="939">
      <c r="A939" s="52"/>
    </row>
    <row r="940">
      <c r="A940" s="52"/>
    </row>
    <row r="941">
      <c r="A941" s="52"/>
    </row>
    <row r="942">
      <c r="A942" s="52"/>
    </row>
    <row r="943">
      <c r="A943" s="52"/>
    </row>
    <row r="944">
      <c r="A944" s="52"/>
    </row>
    <row r="945">
      <c r="A945" s="52"/>
    </row>
    <row r="946">
      <c r="A946" s="52"/>
    </row>
    <row r="947">
      <c r="A947" s="52"/>
    </row>
    <row r="948">
      <c r="A948" s="52"/>
    </row>
    <row r="949">
      <c r="A949" s="52"/>
    </row>
    <row r="950">
      <c r="A950" s="52"/>
    </row>
    <row r="951">
      <c r="A951" s="52"/>
    </row>
    <row r="952">
      <c r="A952" s="52"/>
    </row>
    <row r="953">
      <c r="A953" s="52"/>
    </row>
    <row r="954">
      <c r="A954" s="52"/>
    </row>
    <row r="955">
      <c r="A955" s="52"/>
    </row>
    <row r="956">
      <c r="A956" s="52"/>
    </row>
    <row r="957">
      <c r="A957" s="52"/>
    </row>
    <row r="958">
      <c r="A958" s="52"/>
    </row>
    <row r="959">
      <c r="A959" s="52"/>
    </row>
    <row r="960">
      <c r="A960" s="52"/>
    </row>
    <row r="961">
      <c r="A961" s="52"/>
    </row>
    <row r="962">
      <c r="A962" s="52"/>
    </row>
    <row r="963">
      <c r="A963" s="52"/>
    </row>
    <row r="964">
      <c r="A964" s="52"/>
    </row>
    <row r="965">
      <c r="A965" s="52"/>
    </row>
    <row r="966">
      <c r="A966" s="52"/>
    </row>
    <row r="967">
      <c r="A967" s="52"/>
    </row>
    <row r="968">
      <c r="A968" s="52"/>
    </row>
    <row r="969">
      <c r="A969" s="52"/>
    </row>
    <row r="970">
      <c r="A970" s="52"/>
    </row>
    <row r="971">
      <c r="A971" s="52"/>
    </row>
    <row r="972">
      <c r="A972" s="52"/>
    </row>
    <row r="973">
      <c r="A973" s="52"/>
    </row>
    <row r="974">
      <c r="A974" s="52"/>
    </row>
    <row r="975">
      <c r="A975" s="52"/>
    </row>
    <row r="976">
      <c r="A976" s="52"/>
    </row>
    <row r="977">
      <c r="A977" s="52"/>
    </row>
    <row r="978">
      <c r="A978" s="52"/>
    </row>
    <row r="979">
      <c r="A979" s="52"/>
    </row>
    <row r="980">
      <c r="A980" s="52"/>
    </row>
    <row r="981">
      <c r="A981" s="52"/>
    </row>
    <row r="982">
      <c r="A982" s="52"/>
    </row>
    <row r="983">
      <c r="A983" s="52"/>
    </row>
    <row r="984">
      <c r="A984" s="52"/>
    </row>
    <row r="985">
      <c r="A985" s="52"/>
    </row>
    <row r="986">
      <c r="A986" s="52"/>
    </row>
    <row r="987">
      <c r="A987" s="52"/>
    </row>
    <row r="988">
      <c r="A988" s="52"/>
    </row>
    <row r="989">
      <c r="A989" s="52"/>
    </row>
    <row r="990">
      <c r="A990" s="52"/>
    </row>
    <row r="991">
      <c r="A991" s="52"/>
    </row>
    <row r="992">
      <c r="A992" s="52"/>
    </row>
    <row r="993">
      <c r="A993" s="52"/>
    </row>
    <row r="994">
      <c r="A994" s="52"/>
    </row>
    <row r="995">
      <c r="A995" s="52"/>
    </row>
    <row r="996">
      <c r="A996" s="52"/>
    </row>
    <row r="997">
      <c r="A997" s="52"/>
    </row>
    <row r="998">
      <c r="A998" s="52"/>
    </row>
    <row r="999">
      <c r="A999" s="52"/>
    </row>
    <row r="1000">
      <c r="A1000" s="52"/>
    </row>
  </sheetData>
  <mergeCells count="1">
    <mergeCell ref="A15:D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97</v>
      </c>
      <c r="B1" s="54" t="s">
        <v>98</v>
      </c>
      <c r="C1" s="54" t="s">
        <v>99</v>
      </c>
    </row>
    <row r="2">
      <c r="A2" s="54" t="s">
        <v>100</v>
      </c>
      <c r="B2" s="54" t="s">
        <v>101</v>
      </c>
      <c r="C2" s="54">
        <v>1080000.0</v>
      </c>
    </row>
    <row r="3">
      <c r="A3" s="54" t="s">
        <v>102</v>
      </c>
      <c r="B3" s="54" t="s">
        <v>101</v>
      </c>
      <c r="C3" s="54">
        <v>256000.0</v>
      </c>
    </row>
    <row r="4">
      <c r="A4" s="54" t="s">
        <v>103</v>
      </c>
      <c r="B4" s="54" t="s">
        <v>101</v>
      </c>
      <c r="C4" s="54">
        <v>66000.0</v>
      </c>
    </row>
    <row r="5">
      <c r="A5" s="54" t="s">
        <v>104</v>
      </c>
      <c r="B5" s="54" t="s">
        <v>101</v>
      </c>
      <c r="C5" s="54">
        <v>38000.0</v>
      </c>
    </row>
    <row r="6">
      <c r="A6" s="54" t="s">
        <v>100</v>
      </c>
      <c r="B6" s="54" t="s">
        <v>105</v>
      </c>
      <c r="C6" s="54">
        <v>0.0</v>
      </c>
    </row>
    <row r="7">
      <c r="A7" s="54" t="s">
        <v>102</v>
      </c>
      <c r="B7" s="54" t="s">
        <v>105</v>
      </c>
      <c r="C7" s="54">
        <v>388000.0</v>
      </c>
    </row>
    <row r="8">
      <c r="A8" s="54" t="s">
        <v>103</v>
      </c>
      <c r="B8" s="54" t="s">
        <v>105</v>
      </c>
      <c r="C8" s="54">
        <v>44000.0</v>
      </c>
    </row>
    <row r="9">
      <c r="A9" s="54" t="s">
        <v>104</v>
      </c>
      <c r="B9" s="54" t="s">
        <v>105</v>
      </c>
      <c r="C9" s="54">
        <v>20000.0</v>
      </c>
    </row>
    <row r="10">
      <c r="A10" s="54" t="s">
        <v>106</v>
      </c>
      <c r="B10" s="54" t="s">
        <v>101</v>
      </c>
      <c r="C10" s="54">
        <v>780000.0</v>
      </c>
    </row>
    <row r="11">
      <c r="A11" s="54" t="s">
        <v>107</v>
      </c>
      <c r="B11" s="54" t="s">
        <v>105</v>
      </c>
      <c r="C11" s="54">
        <v>93000.0</v>
      </c>
    </row>
    <row r="12">
      <c r="A12" s="54" t="s">
        <v>108</v>
      </c>
      <c r="B12" s="54" t="s">
        <v>101</v>
      </c>
      <c r="C12" s="54">
        <v>91000.0</v>
      </c>
    </row>
    <row r="13">
      <c r="A13" s="54" t="s">
        <v>109</v>
      </c>
      <c r="B13" s="54" t="s">
        <v>101</v>
      </c>
      <c r="C13" s="54">
        <v>53000.0</v>
      </c>
    </row>
    <row r="15">
      <c r="A15" s="54" t="s">
        <v>110</v>
      </c>
      <c r="B15" s="54" t="s">
        <v>101</v>
      </c>
      <c r="C15" s="54">
        <v>41000.0</v>
      </c>
    </row>
    <row r="16">
      <c r="A16" s="54" t="s">
        <v>111</v>
      </c>
      <c r="B16" s="54" t="s">
        <v>101</v>
      </c>
      <c r="C16" s="54">
        <v>125000.0</v>
      </c>
    </row>
    <row r="17">
      <c r="A17" s="54" t="s">
        <v>112</v>
      </c>
      <c r="B17" s="54" t="s">
        <v>105</v>
      </c>
      <c r="C17" s="54">
        <v>125000.0</v>
      </c>
    </row>
    <row r="18">
      <c r="A18" s="54" t="s">
        <v>113</v>
      </c>
      <c r="B18" s="54" t="s">
        <v>105</v>
      </c>
      <c r="C18" s="54">
        <v>20000.0</v>
      </c>
    </row>
    <row r="19">
      <c r="A19" s="54" t="s">
        <v>114</v>
      </c>
      <c r="B19" s="54" t="s">
        <v>101</v>
      </c>
      <c r="C19" s="54">
        <v>75000.0</v>
      </c>
    </row>
    <row r="20">
      <c r="A20" s="54" t="s">
        <v>115</v>
      </c>
      <c r="B20" s="54" t="s">
        <v>101</v>
      </c>
      <c r="C20" s="54">
        <v>40000.0</v>
      </c>
    </row>
    <row r="23">
      <c r="A23" s="54" t="s">
        <v>116</v>
      </c>
      <c r="C23" s="55">
        <f>SUM(C2,C3,C6,C7,C12,C13)</f>
        <v>1868000</v>
      </c>
    </row>
    <row r="24">
      <c r="A24" s="54" t="s">
        <v>117</v>
      </c>
      <c r="C24" s="55">
        <f>SUM(C4,C8,C9,C5)</f>
        <v>168000</v>
      </c>
    </row>
    <row r="25">
      <c r="A25" s="54" t="s">
        <v>118</v>
      </c>
      <c r="C25" s="55">
        <f>SUM(C10,C11)</f>
        <v>873000</v>
      </c>
    </row>
    <row r="26">
      <c r="A26" s="54" t="s">
        <v>119</v>
      </c>
      <c r="C26" s="55">
        <f>SUM(C15:C20)</f>
        <v>426000</v>
      </c>
    </row>
    <row r="28">
      <c r="A28" s="54" t="s">
        <v>95</v>
      </c>
      <c r="C28" s="55">
        <f>C23+C24+C25+C26</f>
        <v>3335000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6.13"/>
  </cols>
  <sheetData>
    <row r="1">
      <c r="A1" s="56" t="s">
        <v>120</v>
      </c>
      <c r="B1" s="56" t="s">
        <v>121</v>
      </c>
    </row>
    <row r="2">
      <c r="A2" s="57" t="s">
        <v>122</v>
      </c>
      <c r="B2" s="58"/>
    </row>
    <row r="3">
      <c r="A3" s="59" t="s">
        <v>123</v>
      </c>
      <c r="B3" s="58">
        <v>50000.0</v>
      </c>
    </row>
    <row r="4">
      <c r="A4" s="59" t="s">
        <v>124</v>
      </c>
      <c r="B4" s="58">
        <v>0.0</v>
      </c>
    </row>
    <row r="5">
      <c r="A5" s="60"/>
      <c r="B5" s="60"/>
    </row>
    <row r="6">
      <c r="A6" s="60"/>
      <c r="B6" s="60"/>
    </row>
    <row r="7">
      <c r="A7" s="59" t="s">
        <v>95</v>
      </c>
      <c r="B7" s="61">
        <f>SUM(B2:B4)</f>
        <v>50000</v>
      </c>
    </row>
    <row r="8">
      <c r="A8" s="60"/>
      <c r="B8" s="60"/>
    </row>
    <row r="9">
      <c r="A9" s="62"/>
      <c r="B9" s="62"/>
    </row>
    <row r="10">
      <c r="A10" s="62"/>
      <c r="B10" s="62"/>
    </row>
    <row r="11">
      <c r="A11" s="62"/>
      <c r="B11" s="6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54" t="s">
        <v>46</v>
      </c>
      <c r="B1" s="54" t="s">
        <v>63</v>
      </c>
    </row>
    <row r="2">
      <c r="A2" s="54">
        <v>50.0</v>
      </c>
      <c r="B2" s="63">
        <v>1000000.0</v>
      </c>
    </row>
    <row r="3">
      <c r="A3" s="54">
        <v>55.0</v>
      </c>
      <c r="B3" s="64">
        <f t="shared" ref="B3:B12" si="1">B2*2</f>
        <v>2000000</v>
      </c>
    </row>
    <row r="4">
      <c r="A4" s="54">
        <v>60.0</v>
      </c>
      <c r="B4" s="64">
        <f t="shared" si="1"/>
        <v>4000000</v>
      </c>
    </row>
    <row r="5">
      <c r="A5" s="54">
        <v>65.0</v>
      </c>
      <c r="B5" s="64">
        <f t="shared" si="1"/>
        <v>8000000</v>
      </c>
    </row>
    <row r="6">
      <c r="A6" s="54">
        <v>70.0</v>
      </c>
      <c r="B6" s="64">
        <f t="shared" si="1"/>
        <v>16000000</v>
      </c>
    </row>
    <row r="7">
      <c r="A7" s="54">
        <v>75.0</v>
      </c>
      <c r="B7" s="64">
        <f t="shared" si="1"/>
        <v>32000000</v>
      </c>
    </row>
    <row r="8">
      <c r="A8" s="54">
        <v>80.0</v>
      </c>
      <c r="B8" s="64">
        <f t="shared" si="1"/>
        <v>64000000</v>
      </c>
    </row>
    <row r="9">
      <c r="A9" s="54">
        <v>85.0</v>
      </c>
      <c r="B9" s="64">
        <f t="shared" si="1"/>
        <v>128000000</v>
      </c>
    </row>
    <row r="10">
      <c r="A10" s="54">
        <v>90.0</v>
      </c>
      <c r="B10" s="64">
        <f t="shared" si="1"/>
        <v>256000000</v>
      </c>
    </row>
    <row r="11">
      <c r="A11" s="54">
        <v>95.0</v>
      </c>
      <c r="B11" s="64">
        <f t="shared" si="1"/>
        <v>512000000</v>
      </c>
    </row>
    <row r="12">
      <c r="A12" s="54">
        <v>100.0</v>
      </c>
      <c r="B12" s="64">
        <f t="shared" si="1"/>
        <v>1024000000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</cols>
  <sheetData>
    <row r="1">
      <c r="A1" s="65" t="s">
        <v>6</v>
      </c>
      <c r="B1" s="66">
        <v>0.1</v>
      </c>
      <c r="C1" s="67"/>
      <c r="D1" s="67"/>
    </row>
    <row r="2">
      <c r="A2" s="65" t="s">
        <v>8</v>
      </c>
      <c r="B2" s="66">
        <v>0.1</v>
      </c>
      <c r="C2" s="67"/>
      <c r="D2" s="67"/>
    </row>
    <row r="3">
      <c r="A3" s="65" t="s">
        <v>10</v>
      </c>
      <c r="B3" s="66">
        <v>0.05</v>
      </c>
      <c r="C3" s="67"/>
      <c r="D3" s="67"/>
    </row>
    <row r="4">
      <c r="A4" s="65" t="s">
        <v>12</v>
      </c>
      <c r="B4" s="66">
        <v>0.2</v>
      </c>
      <c r="C4" s="67"/>
      <c r="D4" s="67"/>
    </row>
    <row r="5">
      <c r="A5" s="65" t="s">
        <v>125</v>
      </c>
      <c r="B5" s="66">
        <v>0.25</v>
      </c>
      <c r="C5" s="67"/>
      <c r="D5" s="67"/>
    </row>
    <row r="6">
      <c r="A6" s="68" t="s">
        <v>15</v>
      </c>
      <c r="B6" s="69">
        <v>0.04</v>
      </c>
      <c r="C6" s="67"/>
      <c r="D6" s="67"/>
    </row>
    <row r="7">
      <c r="A7" s="65" t="s">
        <v>16</v>
      </c>
      <c r="B7" s="70">
        <v>65.0</v>
      </c>
      <c r="C7" s="67"/>
      <c r="D7" s="67"/>
    </row>
    <row r="8">
      <c r="A8" s="65" t="s">
        <v>18</v>
      </c>
      <c r="B8" s="70">
        <v>1973.0</v>
      </c>
      <c r="C8" s="67"/>
      <c r="D8" s="67"/>
    </row>
    <row r="9">
      <c r="A9" s="71" t="s">
        <v>20</v>
      </c>
      <c r="B9" s="70">
        <v>65.0</v>
      </c>
      <c r="C9" s="67"/>
      <c r="D9" s="67"/>
    </row>
    <row r="10">
      <c r="A10" s="71" t="s">
        <v>22</v>
      </c>
      <c r="B10" s="70">
        <v>67.0</v>
      </c>
      <c r="C10" s="67"/>
      <c r="D10" s="67"/>
    </row>
    <row r="11">
      <c r="A11" s="71" t="s">
        <v>126</v>
      </c>
      <c r="B11" s="72">
        <v>30000.0</v>
      </c>
      <c r="C11" s="67"/>
      <c r="D11" s="67"/>
    </row>
    <row r="12">
      <c r="A12" s="71" t="s">
        <v>26</v>
      </c>
      <c r="B12" s="72">
        <v>0.0</v>
      </c>
      <c r="C12" s="67"/>
      <c r="D12" s="67"/>
    </row>
    <row r="13">
      <c r="A13" s="71" t="s">
        <v>28</v>
      </c>
      <c r="B13" s="72">
        <v>0.0</v>
      </c>
      <c r="C13" s="67"/>
      <c r="D13" s="67"/>
    </row>
    <row r="14">
      <c r="A14" s="71" t="s">
        <v>30</v>
      </c>
      <c r="B14" s="69">
        <v>0.05</v>
      </c>
      <c r="C14" s="67"/>
      <c r="D14" s="67"/>
    </row>
    <row r="15">
      <c r="A15" s="71" t="s">
        <v>32</v>
      </c>
      <c r="B15" s="70">
        <v>80.0</v>
      </c>
      <c r="C15" s="67"/>
      <c r="D15" s="67"/>
    </row>
    <row r="16">
      <c r="A16" s="71" t="s">
        <v>127</v>
      </c>
      <c r="B16" s="73">
        <f>SUM(Details!E4:E88)</f>
        <v>108248607</v>
      </c>
      <c r="C16" s="67"/>
      <c r="D16" s="67"/>
    </row>
    <row r="17">
      <c r="A17" s="71" t="s">
        <v>36</v>
      </c>
      <c r="B17" s="70">
        <v>1.0</v>
      </c>
      <c r="C17" s="67"/>
      <c r="D17" s="67"/>
    </row>
    <row r="18">
      <c r="A18" s="67"/>
      <c r="B18" s="67"/>
      <c r="C18" s="67"/>
      <c r="D18" s="67"/>
    </row>
    <row r="19">
      <c r="A19" s="74" t="s">
        <v>128</v>
      </c>
      <c r="B19" s="67"/>
      <c r="C19" s="67"/>
      <c r="D19" s="67"/>
    </row>
    <row r="20">
      <c r="A20" s="67"/>
      <c r="B20" s="67"/>
      <c r="C20" s="67"/>
      <c r="D20" s="67"/>
    </row>
    <row r="21">
      <c r="A21" s="67"/>
      <c r="B21" s="67"/>
      <c r="C21" s="67"/>
      <c r="D21" s="67"/>
    </row>
    <row r="22">
      <c r="A22" s="67"/>
      <c r="B22" s="67"/>
      <c r="C22" s="67"/>
      <c r="D22" s="67"/>
    </row>
    <row r="23">
      <c r="A23" s="67"/>
      <c r="B23" s="67"/>
      <c r="C23" s="67"/>
      <c r="D23" s="67"/>
    </row>
    <row r="24">
      <c r="A24" s="67"/>
      <c r="B24" s="67"/>
      <c r="C24" s="67"/>
      <c r="D24" s="67"/>
    </row>
    <row r="25">
      <c r="A25" s="67"/>
      <c r="B25" s="67"/>
      <c r="C25" s="67"/>
      <c r="D25" s="67"/>
    </row>
  </sheetData>
  <drawing r:id="rId1"/>
</worksheet>
</file>